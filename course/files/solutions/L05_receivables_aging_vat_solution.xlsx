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שבוניות פתוחות" sheetId="2" state="visible" r:id="rId2"/>
    <sheet name="מדיניות הפרשה" sheetId="3" state="visible" r:id="rId3"/>
    <sheet name="סיכום גיול" sheetId="4" state="visible" r:id="rId4"/>
    <sheet name="מע&quot;מ יונ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2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5 | לקוחות, גיול חובות ומע"מ | אספקת בוקר בע"מ | 30.6.2026</t>
        </is>
      </c>
    </row>
    <row r="3">
      <c r="A3" s="2" t="inlineStr">
        <is>
          <t>הסיפור: סוף יוני. הבנק שואל כמה כסף הלקוחות חייבים ומתי ייכנס. בנוסף צריך להכין את דוח המע"מ של יוני.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2" t="inlineStr">
        <is>
          <t>חלק א: גיול לקוחות (Aging)</t>
        </is>
      </c>
    </row>
    <row r="7">
      <c r="A7" s="3" t="inlineStr">
        <is>
          <t>שלב 1: בגיליון "חשבוניות פתוחות" חשבי בעמודה G ימי פיגור = תאריך הדוח (30/06/2026) פחות תאריך פירעון. אם שלילי, אין פיגור.</t>
        </is>
      </c>
    </row>
    <row r="8">
      <c r="A8" s="3" t="inlineStr">
        <is>
          <t>שלב 2: בעמודה H שייכי כל חשבונית לדלי: לא בפיגור / 1-30 / 31-60 / 61-90 / מעל 90. (רמז: IFS או VLOOKUP עם התאמה משוערת)</t>
        </is>
      </c>
    </row>
    <row r="9">
      <c r="A9" s="3" t="inlineStr">
        <is>
          <t>שלב 3: בעמודה I חשבי הפרשה לחובות מסופקים לפי טבלת השיעורים בגיליון "מדיניות הפרשה".</t>
        </is>
      </c>
    </row>
    <row r="10">
      <c r="A10" s="3" t="inlineStr">
        <is>
          <t>שלב 4: בגיליון "סיכום גיול" סכמי לפי דלי. מי 3 הלקוחות עם הכי הרבה חוב מעל 90 יום? למי תתקשרי קודם?</t>
        </is>
      </c>
    </row>
    <row r="11">
      <c r="A11" s="2" t="inlineStr"/>
    </row>
    <row r="12">
      <c r="A12" s="2" t="inlineStr">
        <is>
          <t>חלק ב: דוח מע"מ חודשי</t>
        </is>
      </c>
    </row>
    <row r="13">
      <c r="A13" s="3" t="inlineStr">
        <is>
          <t>שלב 5: בגיליון "מע"מ יוני" חשבי מע"מ עסקאות 18% על המכירות. יצוא: מע"מ 0%.</t>
        </is>
      </c>
    </row>
    <row r="14">
      <c r="A14" s="3" t="inlineStr">
        <is>
          <t>שלב 6: חשבי מע"מ תשומות על הקניות. רק מה שמותר לקיזוז נכנס לחישוב.</t>
        </is>
      </c>
    </row>
    <row r="15">
      <c r="A15" s="3" t="inlineStr">
        <is>
          <t>שלב 7: מע"מ לתשלום = מע"מ עסקאות פחות מע"מ תשומות מותר. אם יוצא שלילי, זה החזר.</t>
        </is>
      </c>
    </row>
    <row r="16">
      <c r="A16" s="2" t="inlineStr"/>
    </row>
    <row r="17">
      <c r="A17" s="2" t="inlineStr">
        <is>
          <t>הערה: הכללים כאן פשוטים לצורכי לימוד. בפועל יש כללים מפורטים (למשל רכב, כיבוד, חשבוניות עם מספר הקצאה). תמיד בודקים מול יועץ המס.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4" customWidth="1" min="5" max="5"/>
    <col width="18" customWidth="1" min="6" max="6"/>
    <col width="10" customWidth="1" min="7" max="7"/>
    <col width="12" customWidth="1" min="8" max="8"/>
    <col width="18" customWidth="1" min="9" max="9"/>
  </cols>
  <sheetData>
    <row r="1">
      <c r="A1" s="4" t="inlineStr">
        <is>
          <t>מס' חשבונית</t>
        </is>
      </c>
      <c r="B1" s="4" t="inlineStr">
        <is>
          <t>לקוח</t>
        </is>
      </c>
      <c r="C1" s="4" t="inlineStr">
        <is>
          <t>תאריך חשבונית</t>
        </is>
      </c>
      <c r="D1" s="4" t="inlineStr">
        <is>
          <t>תנאי תשלום</t>
        </is>
      </c>
      <c r="E1" s="4" t="inlineStr">
        <is>
          <t>תאריך פירעון</t>
        </is>
      </c>
      <c r="F1" s="4" t="inlineStr">
        <is>
          <t>יתרה פתוחה (כולל מע"מ)</t>
        </is>
      </c>
      <c r="G1" s="4" t="inlineStr">
        <is>
          <t>ימי פיגור</t>
        </is>
      </c>
      <c r="H1" s="4" t="inlineStr">
        <is>
          <t>דלי גיול</t>
        </is>
      </c>
      <c r="I1" s="4" t="inlineStr">
        <is>
          <t>הפרשה לחובות מסופקים</t>
        </is>
      </c>
    </row>
    <row r="2">
      <c r="A2" s="5" t="n">
        <v>7001</v>
      </c>
      <c r="B2" s="5" t="inlineStr">
        <is>
          <t>מרכולית הדרום</t>
        </is>
      </c>
      <c r="C2" s="6" t="n">
        <v>46003</v>
      </c>
      <c r="D2" s="5" t="n">
        <v>45</v>
      </c>
      <c r="E2" s="6" t="n">
        <v>46048</v>
      </c>
      <c r="F2" s="7" t="n">
        <v>29140</v>
      </c>
      <c r="G2" s="5">
        <f>MAX(0,DATE(2026,6,30)-E2)</f>
        <v/>
      </c>
      <c r="H2" s="5">
        <f>IF(G2=0,"לא בפיגור",IF(G2&lt;=30,"1-30",IF(G2&lt;=60,"31-60",IF(G2&lt;=90,"61-90","מעל 90"))))</f>
        <v/>
      </c>
      <c r="I2" s="7">
        <f>F2*VLOOKUP(H2,'מדיניות הפרשה'!$A:$B,2,FALSE)</f>
        <v/>
      </c>
    </row>
    <row r="3">
      <c r="A3" s="5" t="n">
        <v>7002</v>
      </c>
      <c r="B3" s="5" t="inlineStr">
        <is>
          <t>בית ספר אורט</t>
        </is>
      </c>
      <c r="C3" s="6" t="n">
        <v>46003</v>
      </c>
      <c r="D3" s="5" t="n">
        <v>45</v>
      </c>
      <c r="E3" s="6" t="n">
        <v>46048</v>
      </c>
      <c r="F3" s="7" t="n">
        <v>6780</v>
      </c>
      <c r="G3" s="5">
        <f>MAX(0,DATE(2026,6,30)-E3)</f>
        <v/>
      </c>
      <c r="H3" s="5">
        <f>IF(G3=0,"לא בפיגור",IF(G3&lt;=30,"1-30",IF(G3&lt;=60,"31-60",IF(G3&lt;=90,"61-90","מעל 90"))))</f>
        <v/>
      </c>
      <c r="I3" s="7">
        <f>F3*VLOOKUP(H3,'מדיניות הפרשה'!$A:$B,2,FALSE)</f>
        <v/>
      </c>
    </row>
    <row r="4">
      <c r="A4" s="5" t="n">
        <v>7003</v>
      </c>
      <c r="B4" s="5" t="inlineStr">
        <is>
          <t>מלון הים</t>
        </is>
      </c>
      <c r="C4" s="6" t="n">
        <v>46003</v>
      </c>
      <c r="D4" s="5" t="n">
        <v>30</v>
      </c>
      <c r="E4" s="6" t="n">
        <v>46033</v>
      </c>
      <c r="F4" s="7" t="n">
        <v>29710</v>
      </c>
      <c r="G4" s="5">
        <f>MAX(0,DATE(2026,6,30)-E4)</f>
        <v/>
      </c>
      <c r="H4" s="5">
        <f>IF(G4=0,"לא בפיגור",IF(G4&lt;=30,"1-30",IF(G4&lt;=60,"31-60",IF(G4&lt;=90,"61-90","מעל 90"))))</f>
        <v/>
      </c>
      <c r="I4" s="7">
        <f>F4*VLOOKUP(H4,'מדיניות הפרשה'!$A:$B,2,FALSE)</f>
        <v/>
      </c>
    </row>
    <row r="5">
      <c r="A5" s="5" t="n">
        <v>7004</v>
      </c>
      <c r="B5" s="5" t="inlineStr">
        <is>
          <t>מיני מרקט הכפר</t>
        </is>
      </c>
      <c r="C5" s="6" t="n">
        <v>46043</v>
      </c>
      <c r="D5" s="5" t="n">
        <v>30</v>
      </c>
      <c r="E5" s="6" t="n">
        <v>46073</v>
      </c>
      <c r="F5" s="7" t="n">
        <v>20480</v>
      </c>
      <c r="G5" s="5">
        <f>MAX(0,DATE(2026,6,30)-E5)</f>
        <v/>
      </c>
      <c r="H5" s="5">
        <f>IF(G5=0,"לא בפיגור",IF(G5&lt;=30,"1-30",IF(G5&lt;=60,"31-60",IF(G5&lt;=90,"61-90","מעל 90"))))</f>
        <v/>
      </c>
      <c r="I5" s="7">
        <f>F5*VLOOKUP(H5,'מדיניות הפרשה'!$A:$B,2,FALSE)</f>
        <v/>
      </c>
    </row>
    <row r="6">
      <c r="A6" s="5" t="n">
        <v>7005</v>
      </c>
      <c r="B6" s="5" t="inlineStr">
        <is>
          <t>מסעדת זית</t>
        </is>
      </c>
      <c r="C6" s="6" t="n">
        <v>46043</v>
      </c>
      <c r="D6" s="5" t="n">
        <v>60</v>
      </c>
      <c r="E6" s="6" t="n">
        <v>46103</v>
      </c>
      <c r="F6" s="7" t="n">
        <v>13450</v>
      </c>
      <c r="G6" s="5">
        <f>MAX(0,DATE(2026,6,30)-E6)</f>
        <v/>
      </c>
      <c r="H6" s="5">
        <f>IF(G6=0,"לא בפיגור",IF(G6&lt;=30,"1-30",IF(G6&lt;=60,"31-60",IF(G6&lt;=90,"61-90","מעל 90"))))</f>
        <v/>
      </c>
      <c r="I6" s="7">
        <f>F6*VLOOKUP(H6,'מדיניות הפרשה'!$A:$B,2,FALSE)</f>
        <v/>
      </c>
    </row>
    <row r="7">
      <c r="A7" s="5" t="n">
        <v>7006</v>
      </c>
      <c r="B7" s="5" t="inlineStr">
        <is>
          <t>בית אבות נווה</t>
        </is>
      </c>
      <c r="C7" s="6" t="n">
        <v>46073</v>
      </c>
      <c r="D7" s="5" t="n">
        <v>45</v>
      </c>
      <c r="E7" s="6" t="n">
        <v>46118</v>
      </c>
      <c r="F7" s="7" t="n">
        <v>23790</v>
      </c>
      <c r="G7" s="5">
        <f>MAX(0,DATE(2026,6,30)-E7)</f>
        <v/>
      </c>
      <c r="H7" s="5">
        <f>IF(G7=0,"לא בפיגור",IF(G7&lt;=30,"1-30",IF(G7&lt;=60,"31-60",IF(G7&lt;=90,"61-90","מעל 90"))))</f>
        <v/>
      </c>
      <c r="I7" s="7">
        <f>F7*VLOOKUP(H7,'מדיניות הפרשה'!$A:$B,2,FALSE)</f>
        <v/>
      </c>
    </row>
    <row r="8">
      <c r="A8" s="5" t="n">
        <v>7007</v>
      </c>
      <c r="B8" s="5" t="inlineStr">
        <is>
          <t>בית אבות נווה</t>
        </is>
      </c>
      <c r="C8" s="6" t="n">
        <v>46073</v>
      </c>
      <c r="D8" s="5" t="n">
        <v>45</v>
      </c>
      <c r="E8" s="6" t="n">
        <v>46118</v>
      </c>
      <c r="F8" s="7" t="n">
        <v>6010</v>
      </c>
      <c r="G8" s="5">
        <f>MAX(0,DATE(2026,6,30)-E8)</f>
        <v/>
      </c>
      <c r="H8" s="5">
        <f>IF(G8=0,"לא בפיגור",IF(G8&lt;=30,"1-30",IF(G8&lt;=60,"31-60",IF(G8&lt;=90,"61-90","מעל 90"))))</f>
        <v/>
      </c>
      <c r="I8" s="7">
        <f>F8*VLOOKUP(H8,'מדיניות הפרשה'!$A:$B,2,FALSE)</f>
        <v/>
      </c>
    </row>
    <row r="9">
      <c r="A9" s="5" t="n">
        <v>7008</v>
      </c>
      <c r="B9" s="5" t="inlineStr">
        <is>
          <t>מיני מרקט הכפר</t>
        </is>
      </c>
      <c r="C9" s="6" t="n">
        <v>46093</v>
      </c>
      <c r="D9" s="5" t="n">
        <v>30</v>
      </c>
      <c r="E9" s="6" t="n">
        <v>46123</v>
      </c>
      <c r="F9" s="7" t="n">
        <v>38490</v>
      </c>
      <c r="G9" s="5">
        <f>MAX(0,DATE(2026,6,30)-E9)</f>
        <v/>
      </c>
      <c r="H9" s="5">
        <f>IF(G9=0,"לא בפיגור",IF(G9&lt;=30,"1-30",IF(G9&lt;=60,"31-60",IF(G9&lt;=90,"61-90","מעל 90"))))</f>
        <v/>
      </c>
      <c r="I9" s="7">
        <f>F9*VLOOKUP(H9,'מדיניות הפרשה'!$A:$B,2,FALSE)</f>
        <v/>
      </c>
    </row>
    <row r="10">
      <c r="A10" s="5" t="n">
        <v>7009</v>
      </c>
      <c r="B10" s="5" t="inlineStr">
        <is>
          <t>מרכולית הדרום</t>
        </is>
      </c>
      <c r="C10" s="6" t="n">
        <v>46093</v>
      </c>
      <c r="D10" s="5" t="n">
        <v>30</v>
      </c>
      <c r="E10" s="6" t="n">
        <v>46123</v>
      </c>
      <c r="F10" s="7" t="n">
        <v>27580</v>
      </c>
      <c r="G10" s="5">
        <f>MAX(0,DATE(2026,6,30)-E10)</f>
        <v/>
      </c>
      <c r="H10" s="5">
        <f>IF(G10=0,"לא בפיגור",IF(G10&lt;=30,"1-30",IF(G10&lt;=60,"31-60",IF(G10&lt;=90,"61-90","מעל 90"))))</f>
        <v/>
      </c>
      <c r="I10" s="7">
        <f>F10*VLOOKUP(H10,'מדיניות הפרשה'!$A:$B,2,FALSE)</f>
        <v/>
      </c>
    </row>
    <row r="11">
      <c r="A11" s="5" t="n">
        <v>7010</v>
      </c>
      <c r="B11" s="5" t="inlineStr">
        <is>
          <t>רשת מזון השרון</t>
        </is>
      </c>
      <c r="C11" s="6" t="n">
        <v>46108</v>
      </c>
      <c r="D11" s="5" t="n">
        <v>30</v>
      </c>
      <c r="E11" s="6" t="n">
        <v>46138</v>
      </c>
      <c r="F11" s="7" t="n">
        <v>38070</v>
      </c>
      <c r="G11" s="5">
        <f>MAX(0,DATE(2026,6,30)-E11)</f>
        <v/>
      </c>
      <c r="H11" s="5">
        <f>IF(G11=0,"לא בפיגור",IF(G11&lt;=30,"1-30",IF(G11&lt;=60,"31-60",IF(G11&lt;=90,"61-90","מעל 90"))))</f>
        <v/>
      </c>
      <c r="I11" s="7">
        <f>F11*VLOOKUP(H11,'מדיניות הפרשה'!$A:$B,2,FALSE)</f>
        <v/>
      </c>
    </row>
    <row r="12">
      <c r="A12" s="5" t="n">
        <v>7011</v>
      </c>
      <c r="B12" s="5" t="inlineStr">
        <is>
          <t>מלון הים</t>
        </is>
      </c>
      <c r="C12" s="6" t="n">
        <v>46108</v>
      </c>
      <c r="D12" s="5" t="n">
        <v>60</v>
      </c>
      <c r="E12" s="6" t="n">
        <v>46168</v>
      </c>
      <c r="F12" s="7" t="n">
        <v>46140</v>
      </c>
      <c r="G12" s="5">
        <f>MAX(0,DATE(2026,6,30)-E12)</f>
        <v/>
      </c>
      <c r="H12" s="5">
        <f>IF(G12=0,"לא בפיגור",IF(G12&lt;=30,"1-30",IF(G12&lt;=60,"31-60",IF(G12&lt;=90,"61-90","מעל 90"))))</f>
        <v/>
      </c>
      <c r="I12" s="7">
        <f>F12*VLOOKUP(H12,'מדיניות הפרשה'!$A:$B,2,FALSE)</f>
        <v/>
      </c>
    </row>
    <row r="13">
      <c r="A13" s="5" t="n">
        <v>7012</v>
      </c>
      <c r="B13" s="5" t="inlineStr">
        <is>
          <t>קייטרינג זהב</t>
        </is>
      </c>
      <c r="C13" s="6" t="n">
        <v>46108</v>
      </c>
      <c r="D13" s="5" t="n">
        <v>45</v>
      </c>
      <c r="E13" s="6" t="n">
        <v>46153</v>
      </c>
      <c r="F13" s="7" t="n">
        <v>16620</v>
      </c>
      <c r="G13" s="5">
        <f>MAX(0,DATE(2026,6,30)-E13)</f>
        <v/>
      </c>
      <c r="H13" s="5">
        <f>IF(G13=0,"לא בפיגור",IF(G13&lt;=30,"1-30",IF(G13&lt;=60,"31-60",IF(G13&lt;=90,"61-90","מעל 90"))))</f>
        <v/>
      </c>
      <c r="I13" s="7">
        <f>F13*VLOOKUP(H13,'מדיניות הפרשה'!$A:$B,2,FALSE)</f>
        <v/>
      </c>
    </row>
    <row r="14">
      <c r="A14" s="5" t="n">
        <v>7013</v>
      </c>
      <c r="B14" s="5" t="inlineStr">
        <is>
          <t>קפה פינתי</t>
        </is>
      </c>
      <c r="C14" s="6" t="n">
        <v>46108</v>
      </c>
      <c r="D14" s="5" t="n">
        <v>30</v>
      </c>
      <c r="E14" s="6" t="n">
        <v>46138</v>
      </c>
      <c r="F14" s="7" t="n">
        <v>2290</v>
      </c>
      <c r="G14" s="5">
        <f>MAX(0,DATE(2026,6,30)-E14)</f>
        <v/>
      </c>
      <c r="H14" s="5">
        <f>IF(G14=0,"לא בפיגור",IF(G14&lt;=30,"1-30",IF(G14&lt;=60,"31-60",IF(G14&lt;=90,"61-90","מעל 90"))))</f>
        <v/>
      </c>
      <c r="I14" s="7">
        <f>F14*VLOOKUP(H14,'מדיניות הפרשה'!$A:$B,2,FALSE)</f>
        <v/>
      </c>
    </row>
    <row r="15">
      <c r="A15" s="5" t="n">
        <v>7014</v>
      </c>
      <c r="B15" s="5" t="inlineStr">
        <is>
          <t>קייטרינג זהב</t>
        </is>
      </c>
      <c r="C15" s="6" t="n">
        <v>46118</v>
      </c>
      <c r="D15" s="5" t="n">
        <v>30</v>
      </c>
      <c r="E15" s="6" t="n">
        <v>46148</v>
      </c>
      <c r="F15" s="7" t="n">
        <v>34760</v>
      </c>
      <c r="G15" s="5">
        <f>MAX(0,DATE(2026,6,30)-E15)</f>
        <v/>
      </c>
      <c r="H15" s="5">
        <f>IF(G15=0,"לא בפיגור",IF(G15&lt;=30,"1-30",IF(G15&lt;=60,"31-60",IF(G15&lt;=90,"61-90","מעל 90"))))</f>
        <v/>
      </c>
      <c r="I15" s="7">
        <f>F15*VLOOKUP(H15,'מדיניות הפרשה'!$A:$B,2,FALSE)</f>
        <v/>
      </c>
    </row>
    <row r="16">
      <c r="A16" s="5" t="n">
        <v>7015</v>
      </c>
      <c r="B16" s="5" t="inlineStr">
        <is>
          <t>רשת מזון השרון</t>
        </is>
      </c>
      <c r="C16" s="6" t="n">
        <v>46118</v>
      </c>
      <c r="D16" s="5" t="n">
        <v>30</v>
      </c>
      <c r="E16" s="6" t="n">
        <v>46148</v>
      </c>
      <c r="F16" s="7" t="n">
        <v>34030</v>
      </c>
      <c r="G16" s="5">
        <f>MAX(0,DATE(2026,6,30)-E16)</f>
        <v/>
      </c>
      <c r="H16" s="5">
        <f>IF(G16=0,"לא בפיגור",IF(G16&lt;=30,"1-30",IF(G16&lt;=60,"31-60",IF(G16&lt;=90,"61-90","מעל 90"))))</f>
        <v/>
      </c>
      <c r="I16" s="7">
        <f>F16*VLOOKUP(H16,'מדיניות הפרשה'!$A:$B,2,FALSE)</f>
        <v/>
      </c>
    </row>
    <row r="17">
      <c r="A17" s="5" t="n">
        <v>7016</v>
      </c>
      <c r="B17" s="5" t="inlineStr">
        <is>
          <t>מסעדת זית</t>
        </is>
      </c>
      <c r="C17" s="6" t="n">
        <v>46118</v>
      </c>
      <c r="D17" s="5" t="n">
        <v>45</v>
      </c>
      <c r="E17" s="6" t="n">
        <v>46163</v>
      </c>
      <c r="F17" s="7" t="n">
        <v>25200</v>
      </c>
      <c r="G17" s="5">
        <f>MAX(0,DATE(2026,6,30)-E17)</f>
        <v/>
      </c>
      <c r="H17" s="5">
        <f>IF(G17=0,"לא בפיגור",IF(G17&lt;=30,"1-30",IF(G17&lt;=60,"31-60",IF(G17&lt;=90,"61-90","מעל 90"))))</f>
        <v/>
      </c>
      <c r="I17" s="7">
        <f>F17*VLOOKUP(H17,'מדיניות הפרשה'!$A:$B,2,FALSE)</f>
        <v/>
      </c>
    </row>
    <row r="18">
      <c r="A18" s="5" t="n">
        <v>7017</v>
      </c>
      <c r="B18" s="5" t="inlineStr">
        <is>
          <t>מלון הים</t>
        </is>
      </c>
      <c r="C18" s="6" t="n">
        <v>46118</v>
      </c>
      <c r="D18" s="5" t="n">
        <v>30</v>
      </c>
      <c r="E18" s="6" t="n">
        <v>46148</v>
      </c>
      <c r="F18" s="7" t="n">
        <v>9240</v>
      </c>
      <c r="G18" s="5">
        <f>MAX(0,DATE(2026,6,30)-E18)</f>
        <v/>
      </c>
      <c r="H18" s="5">
        <f>IF(G18=0,"לא בפיגור",IF(G18&lt;=30,"1-30",IF(G18&lt;=60,"31-60",IF(G18&lt;=90,"61-90","מעל 90"))))</f>
        <v/>
      </c>
      <c r="I18" s="7">
        <f>F18*VLOOKUP(H18,'מדיניות הפרשה'!$A:$B,2,FALSE)</f>
        <v/>
      </c>
    </row>
    <row r="19">
      <c r="A19" s="5" t="n">
        <v>7018</v>
      </c>
      <c r="B19" s="5" t="inlineStr">
        <is>
          <t>חברת אירועים שמש</t>
        </is>
      </c>
      <c r="C19" s="6" t="n">
        <v>46132</v>
      </c>
      <c r="D19" s="5" t="n">
        <v>45</v>
      </c>
      <c r="E19" s="6" t="n">
        <v>46177</v>
      </c>
      <c r="F19" s="7" t="n">
        <v>22090</v>
      </c>
      <c r="G19" s="5">
        <f>MAX(0,DATE(2026,6,30)-E19)</f>
        <v/>
      </c>
      <c r="H19" s="5">
        <f>IF(G19=0,"לא בפיגור",IF(G19&lt;=30,"1-30",IF(G19&lt;=60,"31-60",IF(G19&lt;=90,"61-90","מעל 90"))))</f>
        <v/>
      </c>
      <c r="I19" s="7">
        <f>F19*VLOOKUP(H19,'מדיניות הפרשה'!$A:$B,2,FALSE)</f>
        <v/>
      </c>
    </row>
    <row r="20">
      <c r="A20" s="5" t="n">
        <v>7019</v>
      </c>
      <c r="B20" s="5" t="inlineStr">
        <is>
          <t>מיני מרקט הכפר</t>
        </is>
      </c>
      <c r="C20" s="6" t="n">
        <v>46140</v>
      </c>
      <c r="D20" s="5" t="n">
        <v>45</v>
      </c>
      <c r="E20" s="6" t="n">
        <v>46185</v>
      </c>
      <c r="F20" s="7" t="n">
        <v>30910</v>
      </c>
      <c r="G20" s="5">
        <f>MAX(0,DATE(2026,6,30)-E20)</f>
        <v/>
      </c>
      <c r="H20" s="5">
        <f>IF(G20=0,"לא בפיגור",IF(G20&lt;=30,"1-30",IF(G20&lt;=60,"31-60",IF(G20&lt;=90,"61-90","מעל 90"))))</f>
        <v/>
      </c>
      <c r="I20" s="7">
        <f>F20*VLOOKUP(H20,'מדיניות הפרשה'!$A:$B,2,FALSE)</f>
        <v/>
      </c>
    </row>
    <row r="21">
      <c r="A21" s="5" t="n">
        <v>7020</v>
      </c>
      <c r="B21" s="5" t="inlineStr">
        <is>
          <t>מרכולית הדרום</t>
        </is>
      </c>
      <c r="C21" s="6" t="n">
        <v>46140</v>
      </c>
      <c r="D21" s="5" t="n">
        <v>45</v>
      </c>
      <c r="E21" s="6" t="n">
        <v>46185</v>
      </c>
      <c r="F21" s="7" t="n">
        <v>37510</v>
      </c>
      <c r="G21" s="5">
        <f>MAX(0,DATE(2026,6,30)-E21)</f>
        <v/>
      </c>
      <c r="H21" s="5">
        <f>IF(G21=0,"לא בפיגור",IF(G21&lt;=30,"1-30",IF(G21&lt;=60,"31-60",IF(G21&lt;=90,"61-90","מעל 90"))))</f>
        <v/>
      </c>
      <c r="I21" s="7">
        <f>F21*VLOOKUP(H21,'מדיניות הפרשה'!$A:$B,2,FALSE)</f>
        <v/>
      </c>
    </row>
    <row r="22">
      <c r="A22" s="5" t="n">
        <v>7021</v>
      </c>
      <c r="B22" s="5" t="inlineStr">
        <is>
          <t>מיני מרקט הכפר</t>
        </is>
      </c>
      <c r="C22" s="6" t="n">
        <v>46153</v>
      </c>
      <c r="D22" s="5" t="n">
        <v>30</v>
      </c>
      <c r="E22" s="6" t="n">
        <v>46183</v>
      </c>
      <c r="F22" s="7" t="n">
        <v>38560</v>
      </c>
      <c r="G22" s="5">
        <f>MAX(0,DATE(2026,6,30)-E22)</f>
        <v/>
      </c>
      <c r="H22" s="5">
        <f>IF(G22=0,"לא בפיגור",IF(G22&lt;=30,"1-30",IF(G22&lt;=60,"31-60",IF(G22&lt;=90,"61-90","מעל 90"))))</f>
        <v/>
      </c>
      <c r="I22" s="7">
        <f>F22*VLOOKUP(H22,'מדיניות הפרשה'!$A:$B,2,FALSE)</f>
        <v/>
      </c>
    </row>
    <row r="23">
      <c r="A23" s="5" t="n">
        <v>7022</v>
      </c>
      <c r="B23" s="5" t="inlineStr">
        <is>
          <t>מיני מרקט הכפר</t>
        </is>
      </c>
      <c r="C23" s="6" t="n">
        <v>46153</v>
      </c>
      <c r="D23" s="5" t="n">
        <v>30</v>
      </c>
      <c r="E23" s="6" t="n">
        <v>46183</v>
      </c>
      <c r="F23" s="7" t="n">
        <v>23920</v>
      </c>
      <c r="G23" s="5">
        <f>MAX(0,DATE(2026,6,30)-E23)</f>
        <v/>
      </c>
      <c r="H23" s="5">
        <f>IF(G23=0,"לא בפיגור",IF(G23&lt;=30,"1-30",IF(G23&lt;=60,"31-60",IF(G23&lt;=90,"61-90","מעל 90"))))</f>
        <v/>
      </c>
      <c r="I23" s="7">
        <f>F23*VLOOKUP(H23,'מדיניות הפרשה'!$A:$B,2,FALSE)</f>
        <v/>
      </c>
    </row>
    <row r="24">
      <c r="A24" s="5" t="n">
        <v>7023</v>
      </c>
      <c r="B24" s="5" t="inlineStr">
        <is>
          <t>מתנ"ס גבעה</t>
        </is>
      </c>
      <c r="C24" s="6" t="n">
        <v>46159</v>
      </c>
      <c r="D24" s="5" t="n">
        <v>60</v>
      </c>
      <c r="E24" s="6" t="n">
        <v>46219</v>
      </c>
      <c r="F24" s="7" t="n">
        <v>34050</v>
      </c>
      <c r="G24" s="5">
        <f>MAX(0,DATE(2026,6,30)-E24)</f>
        <v/>
      </c>
      <c r="H24" s="5">
        <f>IF(G24=0,"לא בפיגור",IF(G24&lt;=30,"1-30",IF(G24&lt;=60,"31-60",IF(G24&lt;=90,"61-90","מעל 90"))))</f>
        <v/>
      </c>
      <c r="I24" s="7">
        <f>F24*VLOOKUP(H24,'מדיניות הפרשה'!$A:$B,2,FALSE)</f>
        <v/>
      </c>
    </row>
    <row r="25">
      <c r="A25" s="5" t="n">
        <v>7024</v>
      </c>
      <c r="B25" s="5" t="inlineStr">
        <is>
          <t>חברת אירועים שמש</t>
        </is>
      </c>
      <c r="C25" s="6" t="n">
        <v>46159</v>
      </c>
      <c r="D25" s="5" t="n">
        <v>30</v>
      </c>
      <c r="E25" s="6" t="n">
        <v>46189</v>
      </c>
      <c r="F25" s="7" t="n">
        <v>31760</v>
      </c>
      <c r="G25" s="5">
        <f>MAX(0,DATE(2026,6,30)-E25)</f>
        <v/>
      </c>
      <c r="H25" s="5">
        <f>IF(G25=0,"לא בפיגור",IF(G25&lt;=30,"1-30",IF(G25&lt;=60,"31-60",IF(G25&lt;=90,"61-90","מעל 90"))))</f>
        <v/>
      </c>
      <c r="I25" s="7">
        <f>F25*VLOOKUP(H25,'מדיניות הפרשה'!$A:$B,2,FALSE)</f>
        <v/>
      </c>
    </row>
    <row r="26">
      <c r="A26" s="5" t="n">
        <v>7025</v>
      </c>
      <c r="B26" s="5" t="inlineStr">
        <is>
          <t>בית אבות נווה</t>
        </is>
      </c>
      <c r="C26" s="6" t="n">
        <v>46168</v>
      </c>
      <c r="D26" s="5" t="n">
        <v>60</v>
      </c>
      <c r="E26" s="6" t="n">
        <v>46228</v>
      </c>
      <c r="F26" s="7" t="n">
        <v>46200</v>
      </c>
      <c r="G26" s="5">
        <f>MAX(0,DATE(2026,6,30)-E26)</f>
        <v/>
      </c>
      <c r="H26" s="5">
        <f>IF(G26=0,"לא בפיגור",IF(G26&lt;=30,"1-30",IF(G26&lt;=60,"31-60",IF(G26&lt;=90,"61-90","מעל 90"))))</f>
        <v/>
      </c>
      <c r="I26" s="7">
        <f>F26*VLOOKUP(H26,'מדיניות הפרשה'!$A:$B,2,FALSE)</f>
        <v/>
      </c>
    </row>
    <row r="27">
      <c r="A27" s="5" t="n">
        <v>7026</v>
      </c>
      <c r="B27" s="5" t="inlineStr">
        <is>
          <t>סופר גליל</t>
        </is>
      </c>
      <c r="C27" s="6" t="n">
        <v>46168</v>
      </c>
      <c r="D27" s="5" t="n">
        <v>45</v>
      </c>
      <c r="E27" s="6" t="n">
        <v>46213</v>
      </c>
      <c r="F27" s="7" t="n">
        <v>47180</v>
      </c>
      <c r="G27" s="5">
        <f>MAX(0,DATE(2026,6,30)-E27)</f>
        <v/>
      </c>
      <c r="H27" s="5">
        <f>IF(G27=0,"לא בפיגור",IF(G27&lt;=30,"1-30",IF(G27&lt;=60,"31-60",IF(G27&lt;=90,"61-90","מעל 90"))))</f>
        <v/>
      </c>
      <c r="I27" s="7">
        <f>F27*VLOOKUP(H27,'מדיניות הפרשה'!$A:$B,2,FALSE)</f>
        <v/>
      </c>
    </row>
    <row r="28">
      <c r="A28" s="5" t="n">
        <v>7027</v>
      </c>
      <c r="B28" s="5" t="inlineStr">
        <is>
          <t>מסעדת זית</t>
        </is>
      </c>
      <c r="C28" s="6" t="n">
        <v>46168</v>
      </c>
      <c r="D28" s="5" t="n">
        <v>60</v>
      </c>
      <c r="E28" s="6" t="n">
        <v>46228</v>
      </c>
      <c r="F28" s="7" t="n">
        <v>26780</v>
      </c>
      <c r="G28" s="5">
        <f>MAX(0,DATE(2026,6,30)-E28)</f>
        <v/>
      </c>
      <c r="H28" s="5">
        <f>IF(G28=0,"לא בפיגור",IF(G28&lt;=30,"1-30",IF(G28&lt;=60,"31-60",IF(G28&lt;=90,"61-90","מעל 90"))))</f>
        <v/>
      </c>
      <c r="I28" s="7">
        <f>F28*VLOOKUP(H28,'מדיניות הפרשה'!$A:$B,2,FALSE)</f>
        <v/>
      </c>
    </row>
    <row r="29">
      <c r="A29" s="5" t="n">
        <v>7028</v>
      </c>
      <c r="B29" s="5" t="inlineStr">
        <is>
          <t>מיני מרקט הכפר</t>
        </is>
      </c>
      <c r="C29" s="6" t="n">
        <v>46168</v>
      </c>
      <c r="D29" s="5" t="n">
        <v>60</v>
      </c>
      <c r="E29" s="6" t="n">
        <v>46228</v>
      </c>
      <c r="F29" s="7" t="n">
        <v>28720</v>
      </c>
      <c r="G29" s="5">
        <f>MAX(0,DATE(2026,6,30)-E29)</f>
        <v/>
      </c>
      <c r="H29" s="5">
        <f>IF(G29=0,"לא בפיגור",IF(G29&lt;=30,"1-30",IF(G29&lt;=60,"31-60",IF(G29&lt;=90,"61-90","מעל 90"))))</f>
        <v/>
      </c>
      <c r="I29" s="7">
        <f>F29*VLOOKUP(H29,'מדיניות הפרשה'!$A:$B,2,FALSE)</f>
        <v/>
      </c>
    </row>
    <row r="30">
      <c r="A30" s="5" t="n">
        <v>7029</v>
      </c>
      <c r="B30" s="5" t="inlineStr">
        <is>
          <t>מלון הים</t>
        </is>
      </c>
      <c r="C30" s="6" t="n">
        <v>46168</v>
      </c>
      <c r="D30" s="5" t="n">
        <v>30</v>
      </c>
      <c r="E30" s="6" t="n">
        <v>46198</v>
      </c>
      <c r="F30" s="7" t="n">
        <v>11050</v>
      </c>
      <c r="G30" s="5">
        <f>MAX(0,DATE(2026,6,30)-E30)</f>
        <v/>
      </c>
      <c r="H30" s="5">
        <f>IF(G30=0,"לא בפיגור",IF(G30&lt;=30,"1-30",IF(G30&lt;=60,"31-60",IF(G30&lt;=90,"61-90","מעל 90"))))</f>
        <v/>
      </c>
      <c r="I30" s="7">
        <f>F30*VLOOKUP(H30,'מדיניות הפרשה'!$A:$B,2,FALSE)</f>
        <v/>
      </c>
    </row>
    <row r="31">
      <c r="A31" s="5" t="n">
        <v>7030</v>
      </c>
      <c r="B31" s="5" t="inlineStr">
        <is>
          <t>סופר גליל</t>
        </is>
      </c>
      <c r="C31" s="6" t="n">
        <v>46175</v>
      </c>
      <c r="D31" s="5" t="n">
        <v>60</v>
      </c>
      <c r="E31" s="6" t="n">
        <v>46235</v>
      </c>
      <c r="F31" s="7" t="n">
        <v>42620</v>
      </c>
      <c r="G31" s="5">
        <f>MAX(0,DATE(2026,6,30)-E31)</f>
        <v/>
      </c>
      <c r="H31" s="5">
        <f>IF(G31=0,"לא בפיגור",IF(G31&lt;=30,"1-30",IF(G31&lt;=60,"31-60",IF(G31&lt;=90,"61-90","מעל 90"))))</f>
        <v/>
      </c>
      <c r="I31" s="7">
        <f>F31*VLOOKUP(H31,'מדיניות הפרשה'!$A:$B,2,FALSE)</f>
        <v/>
      </c>
    </row>
    <row r="32">
      <c r="A32" s="5" t="n">
        <v>7031</v>
      </c>
      <c r="B32" s="5" t="inlineStr">
        <is>
          <t>חברת אירועים שמש</t>
        </is>
      </c>
      <c r="C32" s="6" t="n">
        <v>46175</v>
      </c>
      <c r="D32" s="5" t="n">
        <v>45</v>
      </c>
      <c r="E32" s="6" t="n">
        <v>46220</v>
      </c>
      <c r="F32" s="7" t="n">
        <v>7880</v>
      </c>
      <c r="G32" s="5">
        <f>MAX(0,DATE(2026,6,30)-E32)</f>
        <v/>
      </c>
      <c r="H32" s="5">
        <f>IF(G32=0,"לא בפיגור",IF(G32&lt;=30,"1-30",IF(G32&lt;=60,"31-60",IF(G32&lt;=90,"61-90","מעל 90"))))</f>
        <v/>
      </c>
      <c r="I32" s="7">
        <f>F32*VLOOKUP(H32,'מדיניות הפרשה'!$A:$B,2,FALSE)</f>
        <v/>
      </c>
    </row>
    <row r="33">
      <c r="A33" s="5" t="n">
        <v>7032</v>
      </c>
      <c r="B33" s="5" t="inlineStr">
        <is>
          <t>מלון הים</t>
        </is>
      </c>
      <c r="C33" s="6" t="n">
        <v>46175</v>
      </c>
      <c r="D33" s="5" t="n">
        <v>30</v>
      </c>
      <c r="E33" s="6" t="n">
        <v>46205</v>
      </c>
      <c r="F33" s="7" t="n">
        <v>47310</v>
      </c>
      <c r="G33" s="5">
        <f>MAX(0,DATE(2026,6,30)-E33)</f>
        <v/>
      </c>
      <c r="H33" s="5">
        <f>IF(G33=0,"לא בפיגור",IF(G33&lt;=30,"1-30",IF(G33&lt;=60,"31-60",IF(G33&lt;=90,"61-90","מעל 90"))))</f>
        <v/>
      </c>
      <c r="I33" s="7">
        <f>F33*VLOOKUP(H33,'מדיניות הפרשה'!$A:$B,2,FALSE)</f>
        <v/>
      </c>
    </row>
    <row r="34">
      <c r="A34" s="5" t="n">
        <v>7033</v>
      </c>
      <c r="B34" s="5" t="inlineStr">
        <is>
          <t>קייטרינג זהב</t>
        </is>
      </c>
      <c r="C34" s="6" t="n">
        <v>46183</v>
      </c>
      <c r="D34" s="5" t="n">
        <v>45</v>
      </c>
      <c r="E34" s="6" t="n">
        <v>46228</v>
      </c>
      <c r="F34" s="7" t="n">
        <v>44160</v>
      </c>
      <c r="G34" s="5">
        <f>MAX(0,DATE(2026,6,30)-E34)</f>
        <v/>
      </c>
      <c r="H34" s="5">
        <f>IF(G34=0,"לא בפיגור",IF(G34&lt;=30,"1-30",IF(G34&lt;=60,"31-60",IF(G34&lt;=90,"61-90","מעל 90"))))</f>
        <v/>
      </c>
      <c r="I34" s="7">
        <f>F34*VLOOKUP(H34,'מדיניות הפרשה'!$A:$B,2,FALSE)</f>
        <v/>
      </c>
    </row>
    <row r="35">
      <c r="A35" s="5" t="n">
        <v>7034</v>
      </c>
      <c r="B35" s="5" t="inlineStr">
        <is>
          <t>בית ספר אורט</t>
        </is>
      </c>
      <c r="C35" s="6" t="n">
        <v>46183</v>
      </c>
      <c r="D35" s="5" t="n">
        <v>60</v>
      </c>
      <c r="E35" s="6" t="n">
        <v>46243</v>
      </c>
      <c r="F35" s="7" t="n">
        <v>9220</v>
      </c>
      <c r="G35" s="5">
        <f>MAX(0,DATE(2026,6,30)-E35)</f>
        <v/>
      </c>
      <c r="H35" s="5">
        <f>IF(G35=0,"לא בפיגור",IF(G35&lt;=30,"1-30",IF(G35&lt;=60,"31-60",IF(G35&lt;=90,"61-90","מעל 90"))))</f>
        <v/>
      </c>
      <c r="I35" s="7">
        <f>F35*VLOOKUP(H35,'מדיניות הפרשה'!$A:$B,2,FALSE)</f>
        <v/>
      </c>
    </row>
    <row r="36">
      <c r="A36" s="5" t="n">
        <v>7035</v>
      </c>
      <c r="B36" s="5" t="inlineStr">
        <is>
          <t>קייטרינג זהב</t>
        </is>
      </c>
      <c r="C36" s="6" t="n">
        <v>46183</v>
      </c>
      <c r="D36" s="5" t="n">
        <v>60</v>
      </c>
      <c r="E36" s="6" t="n">
        <v>46243</v>
      </c>
      <c r="F36" s="7" t="n">
        <v>9170</v>
      </c>
      <c r="G36" s="5">
        <f>MAX(0,DATE(2026,6,30)-E36)</f>
        <v/>
      </c>
      <c r="H36" s="5">
        <f>IF(G36=0,"לא בפיגור",IF(G36&lt;=30,"1-30",IF(G36&lt;=60,"31-60",IF(G36&lt;=90,"61-90","מעל 90"))))</f>
        <v/>
      </c>
      <c r="I36" s="7">
        <f>F36*VLOOKUP(H36,'מדיניות הפרשה'!$A:$B,2,FALSE)</f>
        <v/>
      </c>
    </row>
    <row r="37">
      <c r="A37" s="5" t="n">
        <v>7036</v>
      </c>
      <c r="B37" s="5" t="inlineStr">
        <is>
          <t>רשת מזון השרון</t>
        </is>
      </c>
      <c r="C37" s="6" t="n">
        <v>46191</v>
      </c>
      <c r="D37" s="5" t="n">
        <v>60</v>
      </c>
      <c r="E37" s="6" t="n">
        <v>46251</v>
      </c>
      <c r="F37" s="7" t="n">
        <v>7670</v>
      </c>
      <c r="G37" s="5">
        <f>MAX(0,DATE(2026,6,30)-E37)</f>
        <v/>
      </c>
      <c r="H37" s="5">
        <f>IF(G37=0,"לא בפיגור",IF(G37&lt;=30,"1-30",IF(G37&lt;=60,"31-60",IF(G37&lt;=90,"61-90","מעל 90"))))</f>
        <v/>
      </c>
      <c r="I37" s="7">
        <f>F37*VLOOKUP(H37,'מדיניות הפרשה'!$A:$B,2,FALSE)</f>
        <v/>
      </c>
    </row>
    <row r="38">
      <c r="A38" s="5" t="n">
        <v>7037</v>
      </c>
      <c r="B38" s="5" t="inlineStr">
        <is>
          <t>בית ספר אורט</t>
        </is>
      </c>
      <c r="C38" s="6" t="n">
        <v>46191</v>
      </c>
      <c r="D38" s="5" t="n">
        <v>30</v>
      </c>
      <c r="E38" s="6" t="n">
        <v>46221</v>
      </c>
      <c r="F38" s="7" t="n">
        <v>7440</v>
      </c>
      <c r="G38" s="5">
        <f>MAX(0,DATE(2026,6,30)-E38)</f>
        <v/>
      </c>
      <c r="H38" s="5">
        <f>IF(G38=0,"לא בפיגור",IF(G38&lt;=30,"1-30",IF(G38&lt;=60,"31-60",IF(G38&lt;=90,"61-90","מעל 90"))))</f>
        <v/>
      </c>
      <c r="I38" s="7">
        <f>F38*VLOOKUP(H38,'מדיניות הפרשה'!$A:$B,2,FALSE)</f>
        <v/>
      </c>
    </row>
    <row r="39">
      <c r="A39" s="5" t="n">
        <v>7038</v>
      </c>
      <c r="B39" s="5" t="inlineStr">
        <is>
          <t>מרכולית הדרום</t>
        </is>
      </c>
      <c r="C39" s="6" t="n">
        <v>46191</v>
      </c>
      <c r="D39" s="5" t="n">
        <v>60</v>
      </c>
      <c r="E39" s="6" t="n">
        <v>46251</v>
      </c>
      <c r="F39" s="7" t="n">
        <v>38930</v>
      </c>
      <c r="G39" s="5">
        <f>MAX(0,DATE(2026,6,30)-E39)</f>
        <v/>
      </c>
      <c r="H39" s="5">
        <f>IF(G39=0,"לא בפיגור",IF(G39&lt;=30,"1-30",IF(G39&lt;=60,"31-60",IF(G39&lt;=90,"61-90","מעל 90"))))</f>
        <v/>
      </c>
      <c r="I39" s="7">
        <f>F39*VLOOKUP(H39,'מדיניות הפרשה'!$A:$B,2,FALSE)</f>
        <v/>
      </c>
    </row>
    <row r="40">
      <c r="A40" s="5" t="n">
        <v>7039</v>
      </c>
      <c r="B40" s="5" t="inlineStr">
        <is>
          <t>קפה פינתי</t>
        </is>
      </c>
      <c r="C40" s="6" t="n">
        <v>46191</v>
      </c>
      <c r="D40" s="5" t="n">
        <v>60</v>
      </c>
      <c r="E40" s="6" t="n">
        <v>46251</v>
      </c>
      <c r="F40" s="7" t="n">
        <v>21180</v>
      </c>
      <c r="G40" s="5">
        <f>MAX(0,DATE(2026,6,30)-E40)</f>
        <v/>
      </c>
      <c r="H40" s="5">
        <f>IF(G40=0,"לא בפיגור",IF(G40&lt;=30,"1-30",IF(G40&lt;=60,"31-60",IF(G40&lt;=90,"61-90","מעל 90"))))</f>
        <v/>
      </c>
      <c r="I40" s="7">
        <f>F40*VLOOKUP(H40,'מדיניות הפרשה'!$A:$B,2,FALSE)</f>
        <v/>
      </c>
    </row>
    <row r="41">
      <c r="A41" s="5" t="n">
        <v>7040</v>
      </c>
      <c r="B41" s="5" t="inlineStr">
        <is>
          <t>חברת אירועים שמש</t>
        </is>
      </c>
      <c r="C41" s="6" t="n">
        <v>46191</v>
      </c>
      <c r="D41" s="5" t="n">
        <v>30</v>
      </c>
      <c r="E41" s="6" t="n">
        <v>46221</v>
      </c>
      <c r="F41" s="7" t="n">
        <v>47470</v>
      </c>
      <c r="G41" s="5">
        <f>MAX(0,DATE(2026,6,30)-E41)</f>
        <v/>
      </c>
      <c r="H41" s="5">
        <f>IF(G41=0,"לא בפיגור",IF(G41&lt;=30,"1-30",IF(G41&lt;=60,"31-60",IF(G41&lt;=90,"61-90","מעל 90"))))</f>
        <v/>
      </c>
      <c r="I41" s="7">
        <f>F41*VLOOKUP(H41,'מדיניות הפרשה'!$A:$B,2,FALSE)</f>
        <v/>
      </c>
    </row>
    <row r="42">
      <c r="A42" s="5" t="n">
        <v>7041</v>
      </c>
      <c r="B42" s="5" t="inlineStr">
        <is>
          <t>מרכולית הדרום</t>
        </is>
      </c>
      <c r="C42" s="6" t="n">
        <v>46191</v>
      </c>
      <c r="D42" s="5" t="n">
        <v>30</v>
      </c>
      <c r="E42" s="6" t="n">
        <v>46221</v>
      </c>
      <c r="F42" s="7" t="n">
        <v>11420</v>
      </c>
      <c r="G42" s="5">
        <f>MAX(0,DATE(2026,6,30)-E42)</f>
        <v/>
      </c>
      <c r="H42" s="5">
        <f>IF(G42=0,"לא בפיגור",IF(G42&lt;=30,"1-30",IF(G42&lt;=60,"31-60",IF(G42&lt;=90,"61-90","מעל 90"))))</f>
        <v/>
      </c>
      <c r="I42" s="7">
        <f>F42*VLOOKUP(H42,'מדיניות הפרשה'!$A:$B,2,FALSE)</f>
        <v/>
      </c>
    </row>
    <row r="43">
      <c r="A43" s="5" t="n">
        <v>7042</v>
      </c>
      <c r="B43" s="5" t="inlineStr">
        <is>
          <t>קפה פינתי</t>
        </is>
      </c>
      <c r="C43" s="6" t="n">
        <v>46198</v>
      </c>
      <c r="D43" s="5" t="n">
        <v>30</v>
      </c>
      <c r="E43" s="6" t="n">
        <v>46228</v>
      </c>
      <c r="F43" s="7" t="n">
        <v>29920</v>
      </c>
      <c r="G43" s="5">
        <f>MAX(0,DATE(2026,6,30)-E43)</f>
        <v/>
      </c>
      <c r="H43" s="5">
        <f>IF(G43=0,"לא בפיגור",IF(G43&lt;=30,"1-30",IF(G43&lt;=60,"31-60",IF(G43&lt;=90,"61-90","מעל 90"))))</f>
        <v/>
      </c>
      <c r="I43" s="7">
        <f>F43*VLOOKUP(H43,'מדיניות הפרשה'!$A:$B,2,FALSE)</f>
        <v/>
      </c>
    </row>
    <row r="44">
      <c r="A44" s="5" t="n">
        <v>7043</v>
      </c>
      <c r="B44" s="5" t="inlineStr">
        <is>
          <t>בית אבות נווה</t>
        </is>
      </c>
      <c r="C44" s="6" t="n">
        <v>46198</v>
      </c>
      <c r="D44" s="5" t="n">
        <v>60</v>
      </c>
      <c r="E44" s="6" t="n">
        <v>46258</v>
      </c>
      <c r="F44" s="7" t="n">
        <v>39870</v>
      </c>
      <c r="G44" s="5">
        <f>MAX(0,DATE(2026,6,30)-E44)</f>
        <v/>
      </c>
      <c r="H44" s="5">
        <f>IF(G44=0,"לא בפיגור",IF(G44&lt;=30,"1-30",IF(G44&lt;=60,"31-60",IF(G44&lt;=90,"61-90","מעל 90"))))</f>
        <v/>
      </c>
      <c r="I44" s="7">
        <f>F44*VLOOKUP(H44,'מדיניות הפרשה'!$A:$B,2,FALSE)</f>
        <v/>
      </c>
    </row>
    <row r="45">
      <c r="A45" s="5" t="n">
        <v>7044</v>
      </c>
      <c r="B45" s="5" t="inlineStr">
        <is>
          <t>בית ספר אורט</t>
        </is>
      </c>
      <c r="C45" s="6" t="n">
        <v>46198</v>
      </c>
      <c r="D45" s="5" t="n">
        <v>30</v>
      </c>
      <c r="E45" s="6" t="n">
        <v>46228</v>
      </c>
      <c r="F45" s="7" t="n">
        <v>4550</v>
      </c>
      <c r="G45" s="5">
        <f>MAX(0,DATE(2026,6,30)-E45)</f>
        <v/>
      </c>
      <c r="H45" s="5">
        <f>IF(G45=0,"לא בפיגור",IF(G45&lt;=30,"1-30",IF(G45&lt;=60,"31-60",IF(G45&lt;=90,"61-90","מעל 90"))))</f>
        <v/>
      </c>
      <c r="I45" s="7">
        <f>F45*VLOOKUP(H45,'מדיניות הפרשה'!$A:$B,2,FALSE)</f>
        <v/>
      </c>
    </row>
    <row r="46">
      <c r="A46" s="5" t="n">
        <v>7045</v>
      </c>
      <c r="B46" s="5" t="inlineStr">
        <is>
          <t>מסעדת זית</t>
        </is>
      </c>
      <c r="C46" s="6" t="n">
        <v>46198</v>
      </c>
      <c r="D46" s="5" t="n">
        <v>30</v>
      </c>
      <c r="E46" s="6" t="n">
        <v>46228</v>
      </c>
      <c r="F46" s="7" t="n">
        <v>20340</v>
      </c>
      <c r="G46" s="5">
        <f>MAX(0,DATE(2026,6,30)-E46)</f>
        <v/>
      </c>
      <c r="H46" s="5">
        <f>IF(G46=0,"לא בפיגור",IF(G46&lt;=30,"1-30",IF(G46&lt;=60,"31-60",IF(G46&lt;=90,"61-90","מעל 90"))))</f>
        <v/>
      </c>
      <c r="I46" s="7">
        <f>F46*VLOOKUP(H46,'מדיניות הפרשה'!$A:$B,2,FALSE)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דלי גיול</t>
        </is>
      </c>
      <c r="B1" s="4" t="inlineStr">
        <is>
          <t>שיעור הפרשה</t>
        </is>
      </c>
    </row>
    <row r="2">
      <c r="A2" s="5" t="inlineStr">
        <is>
          <t>לא בפיגור</t>
        </is>
      </c>
      <c r="B2" s="8" t="n">
        <v>0</v>
      </c>
    </row>
    <row r="3">
      <c r="A3" s="5" t="inlineStr">
        <is>
          <t>1-30</t>
        </is>
      </c>
      <c r="B3" s="8" t="n">
        <v>0.01</v>
      </c>
    </row>
    <row r="4">
      <c r="A4" s="5" t="inlineStr">
        <is>
          <t>31-60</t>
        </is>
      </c>
      <c r="B4" s="8" t="n">
        <v>0.05</v>
      </c>
    </row>
    <row r="5">
      <c r="A5" s="5" t="inlineStr">
        <is>
          <t>61-90</t>
        </is>
      </c>
      <c r="B5" s="8" t="n">
        <v>0.2</v>
      </c>
    </row>
    <row r="6">
      <c r="A6" s="5" t="inlineStr">
        <is>
          <t>מעל 90</t>
        </is>
      </c>
      <c r="B6" s="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</cols>
  <sheetData>
    <row r="1">
      <c r="A1" s="4" t="inlineStr">
        <is>
          <t>דלי</t>
        </is>
      </c>
      <c r="B1" s="4" t="inlineStr">
        <is>
          <t>סה"כ יתרה</t>
        </is>
      </c>
      <c r="C1" s="4" t="inlineStr">
        <is>
          <t>% מהסך</t>
        </is>
      </c>
      <c r="D1" s="4" t="inlineStr">
        <is>
          <t>הפרשה</t>
        </is>
      </c>
    </row>
    <row r="2">
      <c r="A2" s="5" t="inlineStr">
        <is>
          <t>לא בפיגור</t>
        </is>
      </c>
      <c r="B2" s="7">
        <f>SUMIFS('חשבוניות פתוחות'!F:F,'חשבוניות פתוחות'!H:H,A2)</f>
        <v/>
      </c>
      <c r="C2" s="8">
        <f>B2/$B$7</f>
        <v/>
      </c>
      <c r="D2" s="7">
        <f>SUMIFS('חשבוניות פתוחות'!I:I,'חשבוניות פתוחות'!H:H,A2)</f>
        <v/>
      </c>
    </row>
    <row r="3">
      <c r="A3" s="5" t="inlineStr">
        <is>
          <t>1-30</t>
        </is>
      </c>
      <c r="B3" s="7">
        <f>SUMIFS('חשבוניות פתוחות'!F:F,'חשבוניות פתוחות'!H:H,A3)</f>
        <v/>
      </c>
      <c r="C3" s="8">
        <f>B3/$B$7</f>
        <v/>
      </c>
      <c r="D3" s="7">
        <f>SUMIFS('חשבוניות פתוחות'!I:I,'חשבוניות פתוחות'!H:H,A3)</f>
        <v/>
      </c>
    </row>
    <row r="4">
      <c r="A4" s="5" t="inlineStr">
        <is>
          <t>31-60</t>
        </is>
      </c>
      <c r="B4" s="7">
        <f>SUMIFS('חשבוניות פתוחות'!F:F,'חשבוניות פתוחות'!H:H,A4)</f>
        <v/>
      </c>
      <c r="C4" s="8">
        <f>B4/$B$7</f>
        <v/>
      </c>
      <c r="D4" s="7">
        <f>SUMIFS('חשבוניות פתוחות'!I:I,'חשבוניות פתוחות'!H:H,A4)</f>
        <v/>
      </c>
    </row>
    <row r="5">
      <c r="A5" s="5" t="inlineStr">
        <is>
          <t>61-90</t>
        </is>
      </c>
      <c r="B5" s="7">
        <f>SUMIFS('חשבוניות פתוחות'!F:F,'חשבוניות פתוחות'!H:H,A5)</f>
        <v/>
      </c>
      <c r="C5" s="8">
        <f>B5/$B$7</f>
        <v/>
      </c>
      <c r="D5" s="7">
        <f>SUMIFS('חשבוניות פתוחות'!I:I,'חשבוניות פתוחות'!H:H,A5)</f>
        <v/>
      </c>
    </row>
    <row r="6">
      <c r="A6" s="5" t="inlineStr">
        <is>
          <t>מעל 90</t>
        </is>
      </c>
      <c r="B6" s="7">
        <f>SUMIFS('חשבוניות פתוחות'!F:F,'חשבוניות פתוחות'!H:H,A6)</f>
        <v/>
      </c>
      <c r="C6" s="8">
        <f>B6/$B$7</f>
        <v/>
      </c>
      <c r="D6" s="7">
        <f>SUMIFS('חשבוניות פתוחות'!I:I,'חשבוניות פתוחות'!H:H,A6)</f>
        <v/>
      </c>
    </row>
    <row r="7">
      <c r="A7" t="inlineStr">
        <is>
          <t>סה"כ</t>
        </is>
      </c>
      <c r="B7" s="9">
        <f>SUM(B2:B6)</f>
        <v/>
      </c>
      <c r="D7" s="9">
        <f>SUM(D2:D6)</f>
        <v/>
      </c>
    </row>
    <row r="10">
      <c r="A10" s="10" t="inlineStr">
        <is>
          <t>3 הלקוחות עם הכי הרבה חוב מעל 90 יום (אליהם מתקשרים קודם):</t>
        </is>
      </c>
    </row>
    <row r="11">
      <c r="A11" t="inlineStr">
        <is>
          <t>מלון הים</t>
        </is>
      </c>
      <c r="B11" s="11" t="n">
        <v>29710</v>
      </c>
    </row>
    <row r="12">
      <c r="A12" t="inlineStr">
        <is>
          <t>מרכולית הדרום</t>
        </is>
      </c>
      <c r="B12" s="11" t="n">
        <v>29140</v>
      </c>
    </row>
    <row r="13">
      <c r="A13" t="inlineStr">
        <is>
          <t>מיני מרקט הכפר</t>
        </is>
      </c>
      <c r="B13" s="11" t="n">
        <v>20480</v>
      </c>
    </row>
    <row r="15">
      <c r="A15" t="inlineStr">
        <is>
          <t>פקודת יומן להפרשה: חובה הוצאות חובות מסופקים / זכות הפרשה לחובות מסופקים (מוצג בקיזוז מהלקוחות במאזן).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6" customWidth="1" min="4" max="4"/>
    <col width="18" customWidth="1" min="5" max="5"/>
  </cols>
  <sheetData>
    <row r="1">
      <c r="A1" s="1" t="inlineStr">
        <is>
          <t>חלק א: עסקאות (מכירות) יוני 2026, סכומים לפני מע"מ</t>
        </is>
      </c>
    </row>
    <row r="2">
      <c r="A2" s="4" t="inlineStr">
        <is>
          <t>תיאור</t>
        </is>
      </c>
      <c r="B2" s="4" t="inlineStr">
        <is>
          <t>סכום לפני מע"מ</t>
        </is>
      </c>
      <c r="C2" s="4" t="inlineStr">
        <is>
          <t>סוג</t>
        </is>
      </c>
      <c r="D2" s="4" t="inlineStr">
        <is>
          <t>מע"מ עסקאות</t>
        </is>
      </c>
    </row>
    <row r="3">
      <c r="A3" s="5" t="inlineStr">
        <is>
          <t>מכירת סחורה</t>
        </is>
      </c>
      <c r="B3" s="7" t="n">
        <v>142000</v>
      </c>
      <c r="C3" s="5" t="inlineStr">
        <is>
          <t>עסקאות</t>
        </is>
      </c>
      <c r="D3" s="7">
        <f>IF(C3="יצוא",0,B3*0.18)</f>
        <v/>
      </c>
    </row>
    <row r="4">
      <c r="A4" s="5" t="inlineStr">
        <is>
          <t>מכירת סחורה</t>
        </is>
      </c>
      <c r="B4" s="7" t="n">
        <v>98500</v>
      </c>
      <c r="C4" s="5" t="inlineStr">
        <is>
          <t>עסקאות</t>
        </is>
      </c>
      <c r="D4" s="7">
        <f>IF(C4="יצוא",0,B4*0.18)</f>
        <v/>
      </c>
    </row>
    <row r="5">
      <c r="A5" s="5" t="inlineStr">
        <is>
          <t>שירות אירוע</t>
        </is>
      </c>
      <c r="B5" s="7" t="n">
        <v>36000</v>
      </c>
      <c r="C5" s="5" t="inlineStr">
        <is>
          <t>עסקאות</t>
        </is>
      </c>
      <c r="D5" s="7">
        <f>IF(C5="יצוא",0,B5*0.18)</f>
        <v/>
      </c>
    </row>
    <row r="6">
      <c r="A6" s="5" t="inlineStr">
        <is>
          <t>יצוא ללקוח בחו"ל (מע"מ אפס)</t>
        </is>
      </c>
      <c r="B6" s="7" t="n">
        <v>54000</v>
      </c>
      <c r="C6" s="5" t="inlineStr">
        <is>
          <t>יצוא</t>
        </is>
      </c>
      <c r="D6" s="7">
        <f>IF(C6="יצוא",0,B6*0.18)</f>
        <v/>
      </c>
    </row>
    <row r="7">
      <c r="A7" s="5" t="inlineStr">
        <is>
          <t>מכירת סחורה</t>
        </is>
      </c>
      <c r="B7" s="7" t="n">
        <v>77250</v>
      </c>
      <c r="C7" s="5" t="inlineStr">
        <is>
          <t>עסקאות</t>
        </is>
      </c>
      <c r="D7" s="7">
        <f>IF(C7="יצוא",0,B7*0.18)</f>
        <v/>
      </c>
    </row>
    <row r="9">
      <c r="A9" s="1" t="inlineStr">
        <is>
          <t>חלק ב: תשומות (קניות) יוני 2026, סכומים לפני מע"מ</t>
        </is>
      </c>
    </row>
    <row r="10">
      <c r="A10" s="4" t="inlineStr">
        <is>
          <t>תיאור</t>
        </is>
      </c>
      <c r="B10" s="4" t="inlineStr">
        <is>
          <t>סכום לפני מע"מ</t>
        </is>
      </c>
      <c r="C10" s="4" t="inlineStr">
        <is>
          <t>מותר לקיזוז?</t>
        </is>
      </c>
      <c r="D10" s="4" t="inlineStr">
        <is>
          <t>מע"מ בחשבונית</t>
        </is>
      </c>
      <c r="E10" s="4" t="inlineStr">
        <is>
          <t>מע"מ תשומות לקיזוז</t>
        </is>
      </c>
    </row>
    <row r="11">
      <c r="A11" s="5" t="inlineStr">
        <is>
          <t>קניית מלאי</t>
        </is>
      </c>
      <c r="B11" s="7" t="n">
        <v>118000</v>
      </c>
      <c r="C11" s="5" t="inlineStr">
        <is>
          <t>כן</t>
        </is>
      </c>
      <c r="D11" s="7">
        <f>B11*0.18</f>
        <v/>
      </c>
      <c r="E11" s="7">
        <f>IF(LEFT(C11,2)="כן",D11,0)</f>
        <v/>
      </c>
    </row>
    <row r="12">
      <c r="A12" s="5" t="inlineStr">
        <is>
          <t>שכירות משרד</t>
        </is>
      </c>
      <c r="B12" s="7" t="n">
        <v>22000</v>
      </c>
      <c r="C12" s="5" t="inlineStr">
        <is>
          <t>כן</t>
        </is>
      </c>
      <c r="D12" s="7">
        <f>B12*0.18</f>
        <v/>
      </c>
      <c r="E12" s="7">
        <f>IF(LEFT(C12,2)="כן",D12,0)</f>
        <v/>
      </c>
    </row>
    <row r="13">
      <c r="A13" s="5" t="inlineStr">
        <is>
          <t>ייעוץ משפטי</t>
        </is>
      </c>
      <c r="B13" s="7" t="n">
        <v>8500</v>
      </c>
      <c r="C13" s="5" t="inlineStr">
        <is>
          <t>כן</t>
        </is>
      </c>
      <c r="D13" s="7">
        <f>B13*0.18</f>
        <v/>
      </c>
      <c r="E13" s="7">
        <f>IF(LEFT(C13,2)="כן",D13,0)</f>
        <v/>
      </c>
    </row>
    <row r="14">
      <c r="A14" s="5" t="inlineStr">
        <is>
          <t>כיבוד וארוחות לעובדים</t>
        </is>
      </c>
      <c r="B14" s="7" t="n">
        <v>3200</v>
      </c>
      <c r="C14" s="5" t="inlineStr">
        <is>
          <t>לא (כיבוד אינו מוכר לקיזוז)</t>
        </is>
      </c>
      <c r="D14" s="7">
        <f>B14*0.18</f>
        <v/>
      </c>
      <c r="E14" s="7">
        <f>IF(LEFT(C14,2)="כן",D14,0)</f>
        <v/>
      </c>
    </row>
    <row r="15">
      <c r="A15" s="5" t="inlineStr">
        <is>
          <t>מחשבים וציוד</t>
        </is>
      </c>
      <c r="B15" s="7" t="n">
        <v>16400</v>
      </c>
      <c r="C15" s="5" t="inlineStr">
        <is>
          <t>כן (ציוד)</t>
        </is>
      </c>
      <c r="D15" s="7">
        <f>B15*0.18</f>
        <v/>
      </c>
      <c r="E15" s="7">
        <f>IF(LEFT(C15,2)="כן",D15,0)</f>
        <v/>
      </c>
    </row>
    <row r="16">
      <c r="A16" s="5" t="inlineStr">
        <is>
          <t>דלק לרכב פרטי של מנהל</t>
        </is>
      </c>
      <c r="B16" s="7" t="n">
        <v>2400</v>
      </c>
      <c r="C16" s="5" t="inlineStr">
        <is>
          <t>לא (רכב פרטי)</t>
        </is>
      </c>
      <c r="D16" s="7">
        <f>B16*0.18</f>
        <v/>
      </c>
      <c r="E16" s="7">
        <f>IF(LEFT(C16,2)="כן",D16,0)</f>
        <v/>
      </c>
    </row>
    <row r="17">
      <c r="A17" s="5" t="inlineStr">
        <is>
          <t>פרסום בגוגל</t>
        </is>
      </c>
      <c r="B17" s="7" t="n">
        <v>9800</v>
      </c>
      <c r="C17" s="5" t="inlineStr">
        <is>
          <t>כן</t>
        </is>
      </c>
      <c r="D17" s="7">
        <f>B17*0.18</f>
        <v/>
      </c>
      <c r="E17" s="7">
        <f>IF(LEFT(C17,2)="כן",D17,0)</f>
        <v/>
      </c>
    </row>
    <row r="20">
      <c r="A20" s="10" t="inlineStr">
        <is>
          <t>סה"כ מע"מ עסקאות</t>
        </is>
      </c>
      <c r="B20" s="12">
        <f>SUM(D3:D7)</f>
        <v/>
      </c>
    </row>
    <row r="21">
      <c r="A21" s="10" t="inlineStr">
        <is>
          <t>סה"כ מע"מ תשומות לקיזוז</t>
        </is>
      </c>
      <c r="B21" s="12">
        <f>SUM(E11:E17)</f>
        <v/>
      </c>
    </row>
    <row r="22">
      <c r="A22" s="10" t="inlineStr">
        <is>
          <t>מע"מ לתשלום (שלילי = החזר)</t>
        </is>
      </c>
      <c r="B22" s="12">
        <f>B20-B21</f>
        <v/>
      </c>
    </row>
    <row r="24">
      <c r="A24" t="inlineStr">
        <is>
          <t>בדיקה: מע"מ עסקאות 63,675, תשומות 31,446, לתשלום 32,229 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