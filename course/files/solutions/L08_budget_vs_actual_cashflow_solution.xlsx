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קציב מול ביצוע" sheetId="2" state="visible" r:id="rId2"/>
    <sheet name="מידע מהמחלקות" sheetId="3" state="visible" r:id="rId3"/>
    <sheet name="תזרים 13 שבוע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8 | תקציב מול ביצוע ותזרים מזומנים | אספקת בוקר בע"מ</t>
        </is>
      </c>
    </row>
    <row r="3">
      <c r="A3" s="2" t="inlineStr">
        <is>
          <t>הסיפור: ישיבת הנהלה ביום חמישי. סמנכ"ל הכספים מבקש: 1) הסבר לסטיות ברבעון 2. 2) תחזית מזומנים ל-13 שבועות.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2" t="inlineStr">
        <is>
          <t>חלק א: תקציב מול ביצוע (רבעון 2, אפריל עד יוני 2026)</t>
        </is>
      </c>
    </row>
    <row r="7">
      <c r="A7" s="3" t="inlineStr">
        <is>
          <t>שלב 1: סטייה בש"ח = ביצוע פחות תקציב.</t>
        </is>
      </c>
    </row>
    <row r="8">
      <c r="A8" s="3" t="inlineStr">
        <is>
          <t>שלב 2: סטייה באחוזים = סטייה / תקציב.</t>
        </is>
      </c>
    </row>
    <row r="9">
      <c r="A9" s="3" t="inlineStr">
        <is>
          <t>שלב 3: חיובית או שלילית לעסק? בהכנסות: ביצוע גבוה = טוב. בהוצאות: ביצוע גבוה = רע. כתבי "חיובית" או "שלילית".</t>
        </is>
      </c>
    </row>
    <row r="10">
      <c r="A10" s="3" t="inlineStr">
        <is>
          <t>שלב 4: מהותית? כלל אצלנו: סטייה מעל 10% וגם מעל 20,000 ₪. (רמז: AND ו-ABS)</t>
        </is>
      </c>
    </row>
    <row r="11">
      <c r="A11" s="3" t="inlineStr">
        <is>
          <t>שלב 5: לכל סטייה מהותית כתבי הסבר בשפה פשוטה (השתמשי ברמזים בגיליון "מידע מהמחלקות").</t>
        </is>
      </c>
    </row>
    <row r="12">
      <c r="A12" s="2" t="inlineStr"/>
    </row>
    <row r="13">
      <c r="A13" s="2" t="inlineStr">
        <is>
          <t>חלק ב: תזרים מזומנים ל-13 שבועות</t>
        </is>
      </c>
    </row>
    <row r="14">
      <c r="A14" s="3" t="inlineStr">
        <is>
          <t>שלב 6: בגיליון "תזרים 13 שבועות" יתרת סגירה = יתרת פתיחה + כניסות - יציאות.</t>
        </is>
      </c>
    </row>
    <row r="15">
      <c r="A15" s="3" t="inlineStr">
        <is>
          <t>שלב 7: יתרת הפתיחה של כל שבוע = יתרת הסגירה של השבוע הקודם.</t>
        </is>
      </c>
    </row>
    <row r="16">
      <c r="A16" s="3" t="inlineStr">
        <is>
          <t>שלב 8: המדיניות: היתרה לא יורדת מתחת ל-150,000 ₪. באילו שבועות יש בעיה? למה? מה היית מציעה לעשות?</t>
        </is>
      </c>
    </row>
    <row r="17">
      <c r="A17" s="2" t="inlineStr"/>
    </row>
    <row r="18">
      <c r="A18" s="2" t="inlineStr">
        <is>
          <t>למה זה חשוב? זה הרגע שבו חשבת הופכת משותפה עסקית ולא רק "מי שרושמת". כאן רואים את הערך שלך.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10" customWidth="1" min="8" max="8"/>
    <col width="60" customWidth="1" min="9" max="9"/>
  </cols>
  <sheetData>
    <row r="1">
      <c r="A1" s="4" t="inlineStr">
        <is>
          <t>סעיף</t>
        </is>
      </c>
      <c r="B1" s="4" t="inlineStr">
        <is>
          <t>סוג</t>
        </is>
      </c>
      <c r="C1" s="4" t="inlineStr">
        <is>
          <t>תקציב רבעון 2</t>
        </is>
      </c>
      <c r="D1" s="4" t="inlineStr">
        <is>
          <t>ביצוע רבעון 2</t>
        </is>
      </c>
      <c r="E1" s="4" t="inlineStr">
        <is>
          <t>סטייה ₪</t>
        </is>
      </c>
      <c r="F1" s="4" t="inlineStr">
        <is>
          <t>סטייה %</t>
        </is>
      </c>
      <c r="G1" s="4" t="inlineStr">
        <is>
          <t>חיובית/שלילית</t>
        </is>
      </c>
      <c r="H1" s="4" t="inlineStr">
        <is>
          <t>מהותית?</t>
        </is>
      </c>
      <c r="I1" s="4" t="inlineStr">
        <is>
          <t>הסבר להנהלה</t>
        </is>
      </c>
    </row>
    <row r="2">
      <c r="A2" s="5" t="inlineStr">
        <is>
          <t>הכנסות</t>
        </is>
      </c>
      <c r="B2" s="5" t="inlineStr">
        <is>
          <t>הכנסה</t>
        </is>
      </c>
      <c r="C2" s="6" t="n">
        <v>1850000</v>
      </c>
      <c r="D2" s="6" t="n">
        <v>1712400</v>
      </c>
      <c r="E2" s="6">
        <f>D2-C2</f>
        <v/>
      </c>
      <c r="F2" s="7">
        <f>E2/C2</f>
        <v/>
      </c>
      <c r="G2" s="5">
        <f>IF(B2="הכנסה",IF(E2&gt;=0,"חיובית","שלילית"),IF(E2&lt;=0,"חיובית","שלילית"))</f>
        <v/>
      </c>
      <c r="H2" s="5">
        <f>IF(AND(ABS(F2)&gt;10%,ABS(E2)&gt;20000),"מהותית","")</f>
        <v/>
      </c>
      <c r="I2" s="8" t="inlineStr">
        <is>
          <t>לא מהותית לפי הכלל (7.4%, מתחת ל-10%), אבל שווה משפט: סופר גליל דחה הזמנה של כ-120 אלף ₪ ליולי. נדחה, לא אבוד.</t>
        </is>
      </c>
    </row>
    <row r="3">
      <c r="A3" s="5" t="inlineStr">
        <is>
          <t>עלות המכר</t>
        </is>
      </c>
      <c r="B3" s="5" t="inlineStr">
        <is>
          <t>הוצאה</t>
        </is>
      </c>
      <c r="C3" s="6" t="n">
        <v>1110000</v>
      </c>
      <c r="D3" s="6" t="n">
        <v>1068300</v>
      </c>
      <c r="E3" s="6">
        <f>D3-C3</f>
        <v/>
      </c>
      <c r="F3" s="7">
        <f>E3/C3</f>
        <v/>
      </c>
      <c r="G3" s="5">
        <f>IF(B3="הכנסה",IF(E3&gt;=0,"חיובית","שלילית"),IF(E3&lt;=0,"חיובית","שלילית"))</f>
        <v/>
      </c>
      <c r="H3" s="5">
        <f>IF(AND(ABS(F3)&gt;10%,ABS(E3)&gt;20000),"מהותית","")</f>
        <v/>
      </c>
      <c r="I3" s="5" t="n"/>
    </row>
    <row r="4">
      <c r="A4" s="5" t="inlineStr">
        <is>
          <t>שכר ונלוות</t>
        </is>
      </c>
      <c r="B4" s="5" t="inlineStr">
        <is>
          <t>הוצאה</t>
        </is>
      </c>
      <c r="C4" s="6" t="n">
        <v>318000</v>
      </c>
      <c r="D4" s="6" t="n">
        <v>331500</v>
      </c>
      <c r="E4" s="6">
        <f>D4-C4</f>
        <v/>
      </c>
      <c r="F4" s="7">
        <f>E4/C4</f>
        <v/>
      </c>
      <c r="G4" s="5">
        <f>IF(B4="הכנסה",IF(E4&gt;=0,"חיובית","שלילית"),IF(E4&lt;=0,"חיובית","שלילית"))</f>
        <v/>
      </c>
      <c r="H4" s="5">
        <f>IF(AND(ABS(F4)&gt;10%,ABS(E4)&gt;20000),"מהותית","")</f>
        <v/>
      </c>
      <c r="I4" s="5" t="n"/>
    </row>
    <row r="5">
      <c r="A5" s="5" t="inlineStr">
        <is>
          <t>שכירות ואחזקה</t>
        </is>
      </c>
      <c r="B5" s="5" t="inlineStr">
        <is>
          <t>הוצאה</t>
        </is>
      </c>
      <c r="C5" s="6" t="n">
        <v>108000</v>
      </c>
      <c r="D5" s="6" t="n">
        <v>108000</v>
      </c>
      <c r="E5" s="6">
        <f>D5-C5</f>
        <v/>
      </c>
      <c r="F5" s="7">
        <f>E5/C5</f>
        <v/>
      </c>
      <c r="G5" s="5">
        <f>IF(B5="הכנסה",IF(E5&gt;=0,"חיובית","שלילית"),IF(E5&lt;=0,"חיובית","שלילית"))</f>
        <v/>
      </c>
      <c r="H5" s="5">
        <f>IF(AND(ABS(F5)&gt;10%,ABS(E5)&gt;20000),"מהותית","")</f>
        <v/>
      </c>
      <c r="I5" s="5" t="n"/>
    </row>
    <row r="6">
      <c r="A6" s="5" t="inlineStr">
        <is>
          <t>שיווק ופרסום</t>
        </is>
      </c>
      <c r="B6" s="5" t="inlineStr">
        <is>
          <t>הוצאה</t>
        </is>
      </c>
      <c r="C6" s="6" t="n">
        <v>92000</v>
      </c>
      <c r="D6" s="6" t="n">
        <v>141800</v>
      </c>
      <c r="E6" s="6">
        <f>D6-C6</f>
        <v/>
      </c>
      <c r="F6" s="7">
        <f>E6/C6</f>
        <v/>
      </c>
      <c r="G6" s="5">
        <f>IF(B6="הכנסה",IF(E6&gt;=0,"חיובית","שלילית"),IF(E6&lt;=0,"חיובית","שלילית"))</f>
        <v/>
      </c>
      <c r="H6" s="5">
        <f>IF(AND(ABS(F6)&gt;10%,ABS(E6)&gt;20000),"מהותית","")</f>
        <v/>
      </c>
      <c r="I6" s="8" t="inlineStr">
        <is>
          <t>חריגה של 54%. קמפיין השקה של קו הקרואסונים שלא היה בתקציב. לבדוק החזר השקעה ברבעון 3.</t>
        </is>
      </c>
    </row>
    <row r="7">
      <c r="A7" s="5" t="inlineStr">
        <is>
          <t>הוצאות משרד</t>
        </is>
      </c>
      <c r="B7" s="5" t="inlineStr">
        <is>
          <t>הוצאה</t>
        </is>
      </c>
      <c r="C7" s="6" t="n">
        <v>31000</v>
      </c>
      <c r="D7" s="6" t="n">
        <v>28700</v>
      </c>
      <c r="E7" s="6">
        <f>D7-C7</f>
        <v/>
      </c>
      <c r="F7" s="7">
        <f>E7/C7</f>
        <v/>
      </c>
      <c r="G7" s="5">
        <f>IF(B7="הכנסה",IF(E7&gt;=0,"חיובית","שלילית"),IF(E7&lt;=0,"חיובית","שלילית"))</f>
        <v/>
      </c>
      <c r="H7" s="5">
        <f>IF(AND(ABS(F7)&gt;10%,ABS(E7)&gt;20000),"מהותית","")</f>
        <v/>
      </c>
      <c r="I7" s="5" t="n"/>
    </row>
    <row r="8">
      <c r="A8" s="5" t="inlineStr">
        <is>
          <t>שירותים מקצועיים</t>
        </is>
      </c>
      <c r="B8" s="5" t="inlineStr">
        <is>
          <t>הוצאה</t>
        </is>
      </c>
      <c r="C8" s="6" t="n">
        <v>24000</v>
      </c>
      <c r="D8" s="6" t="n">
        <v>46500</v>
      </c>
      <c r="E8" s="6">
        <f>D8-C8</f>
        <v/>
      </c>
      <c r="F8" s="7">
        <f>E8/C8</f>
        <v/>
      </c>
      <c r="G8" s="5">
        <f>IF(B8="הכנסה",IF(E8&gt;=0,"חיובית","שלילית"),IF(E8&lt;=0,"חיובית","שלילית"))</f>
        <v/>
      </c>
      <c r="H8" s="5">
        <f>IF(AND(ABS(F8)&gt;10%,ABS(E8)&gt;20000),"מהותית","")</f>
        <v/>
      </c>
      <c r="I8" s="8" t="inlineStr">
        <is>
          <t>כמעט פי 2 מהתקציב. ייעוץ משפטי חד פעמי בתביעת ספק. לא צפוי לחזור.</t>
        </is>
      </c>
    </row>
    <row r="9">
      <c r="A9" s="5" t="inlineStr">
        <is>
          <t>פחת</t>
        </is>
      </c>
      <c r="B9" s="5" t="inlineStr">
        <is>
          <t>הוצאה</t>
        </is>
      </c>
      <c r="C9" s="6" t="n">
        <v>62000</v>
      </c>
      <c r="D9" s="6" t="n">
        <v>62400</v>
      </c>
      <c r="E9" s="6">
        <f>D9-C9</f>
        <v/>
      </c>
      <c r="F9" s="7">
        <f>E9/C9</f>
        <v/>
      </c>
      <c r="G9" s="5">
        <f>IF(B9="הכנסה",IF(E9&gt;=0,"חיובית","שלילית"),IF(E9&lt;=0,"חיובית","שלילית"))</f>
        <v/>
      </c>
      <c r="H9" s="5">
        <f>IF(AND(ABS(F9)&gt;10%,ABS(E9)&gt;20000),"מהותית","")</f>
        <v/>
      </c>
      <c r="I9" s="5" t="n"/>
    </row>
    <row r="10">
      <c r="A10" s="5" t="inlineStr">
        <is>
          <t>הוצאות מימון</t>
        </is>
      </c>
      <c r="B10" s="5" t="inlineStr">
        <is>
          <t>הוצאה</t>
        </is>
      </c>
      <c r="C10" s="6" t="n">
        <v>20500</v>
      </c>
      <c r="D10" s="6" t="n">
        <v>23900</v>
      </c>
      <c r="E10" s="6">
        <f>D10-C10</f>
        <v/>
      </c>
      <c r="F10" s="7">
        <f>E10/C10</f>
        <v/>
      </c>
      <c r="G10" s="5">
        <f>IF(B10="הכנסה",IF(E10&gt;=0,"חיובית","שלילית"),IF(E10&lt;=0,"חיובית","שלילית"))</f>
        <v/>
      </c>
      <c r="H10" s="5">
        <f>IF(AND(ABS(F10)&gt;10%,ABS(E10)&gt;20000),"מהותית","")</f>
        <v/>
      </c>
      <c r="I10" s="5" t="n"/>
    </row>
    <row r="12">
      <c r="A12" s="9" t="inlineStr">
        <is>
          <t>רווח תפעולי ומימון (הכנסות פחות כל ההוצאות)</t>
        </is>
      </c>
      <c r="C12" s="10">
        <f>C2-SUM(C3:C10)</f>
        <v/>
      </c>
      <c r="D12" s="10">
        <f>D2-SUM(D3:D10)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מה סיפרו לך המנהלים (רמזים להסברים)</t>
        </is>
      </c>
    </row>
    <row r="3">
      <c r="A3" s="2" t="inlineStr">
        <is>
          <t>מנהל המכירות: "סופר גליל דחה הזמנה גדולה של כ-120 אלף ₪ ליולי. הם יקנו, רק מאוחר יותר."</t>
        </is>
      </c>
    </row>
    <row r="4">
      <c r="A4" s="2" t="inlineStr">
        <is>
          <t>מנהלת השיווק: "עשינו קמפיין השקה לקרואסונים. זה לא היה בתקציב המקורי, המנכ"ל אישר בעל פה."</t>
        </is>
      </c>
    </row>
    <row r="5">
      <c r="A5" s="2" t="inlineStr">
        <is>
          <t>היועץ המשפטי: "התביעה של הספק לשעבר דרשה עבודה רבה ברבעון. זה חד פעמי."</t>
        </is>
      </c>
    </row>
    <row r="6">
      <c r="A6" s="2" t="inlineStr">
        <is>
          <t>משאבי אנוש: "גייסנו נהג נוסף במאי במקום לשלם שעות נוספות." (האם זו סטייה מהותית? בדקי לפי הכלל!)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0" customWidth="1" min="6" max="6"/>
    <col width="10" customWidth="1" min="7" max="7"/>
    <col width="12" customWidth="1" min="8" max="8"/>
    <col width="12" customWidth="1" min="9" max="9"/>
    <col width="16" customWidth="1" min="10" max="10"/>
    <col width="14" customWidth="1" min="11" max="11"/>
    <col width="16" customWidth="1" min="12" max="12"/>
  </cols>
  <sheetData>
    <row r="1">
      <c r="A1" s="4" t="inlineStr">
        <is>
          <t>שבוע</t>
        </is>
      </c>
      <c r="B1" s="4" t="inlineStr">
        <is>
          <t>יתרת פתיחה</t>
        </is>
      </c>
      <c r="C1" s="4" t="inlineStr">
        <is>
          <t>גבייה מלקוחות</t>
        </is>
      </c>
      <c r="D1" s="4" t="inlineStr">
        <is>
          <t>שכר</t>
        </is>
      </c>
      <c r="E1" s="4" t="inlineStr">
        <is>
          <t>ספקים</t>
        </is>
      </c>
      <c r="F1" s="4" t="inlineStr">
        <is>
          <t>מע"מ</t>
        </is>
      </c>
      <c r="G1" s="4" t="inlineStr">
        <is>
          <t>שכירות</t>
        </is>
      </c>
      <c r="H1" s="4" t="inlineStr">
        <is>
          <t>החזר הלוואה</t>
        </is>
      </c>
      <c r="I1" s="4" t="inlineStr">
        <is>
          <t>מקדמות מס</t>
        </is>
      </c>
      <c r="J1" s="4" t="inlineStr">
        <is>
          <t>אחר (מקדמה על מכונה)</t>
        </is>
      </c>
      <c r="K1" s="4" t="inlineStr">
        <is>
          <t>יתרת סגירה</t>
        </is>
      </c>
      <c r="L1" s="4" t="inlineStr">
        <is>
          <t>התראה</t>
        </is>
      </c>
    </row>
    <row r="2">
      <c r="A2" s="5" t="inlineStr">
        <is>
          <t>שבוע 1 (05/07)</t>
        </is>
      </c>
      <c r="B2" s="6">
        <f>250000</f>
        <v/>
      </c>
      <c r="C2" s="6" t="n">
        <v>202000</v>
      </c>
      <c r="D2" s="6" t="n">
        <v>118000</v>
      </c>
      <c r="E2" s="6" t="n">
        <v>96000</v>
      </c>
      <c r="F2" s="6" t="n">
        <v>0</v>
      </c>
      <c r="G2" s="6" t="n">
        <v>36000</v>
      </c>
      <c r="H2" s="6" t="n">
        <v>0</v>
      </c>
      <c r="I2" s="6" t="n">
        <v>0</v>
      </c>
      <c r="J2" s="6" t="n">
        <v>0</v>
      </c>
      <c r="K2" s="6">
        <f>B2+C2-SUM(D2:J2)</f>
        <v/>
      </c>
      <c r="L2" s="5">
        <f>IF(K2&lt;150000,"מתחת למינימום!","")</f>
        <v/>
      </c>
    </row>
    <row r="3">
      <c r="A3" s="5" t="inlineStr">
        <is>
          <t>שבוע 2 (12/07)</t>
        </is>
      </c>
      <c r="B3" s="6">
        <f>K2</f>
        <v/>
      </c>
      <c r="C3" s="6" t="n">
        <v>178000</v>
      </c>
      <c r="D3" s="6" t="n">
        <v>0</v>
      </c>
      <c r="E3" s="6" t="n">
        <v>104000</v>
      </c>
      <c r="F3" s="6" t="n">
        <v>61000</v>
      </c>
      <c r="G3" s="6" t="n">
        <v>0</v>
      </c>
      <c r="H3" s="6" t="n">
        <v>0</v>
      </c>
      <c r="I3" s="6" t="n">
        <v>0</v>
      </c>
      <c r="J3" s="6" t="n">
        <v>0</v>
      </c>
      <c r="K3" s="6">
        <f>B3+C3-SUM(D3:J3)</f>
        <v/>
      </c>
      <c r="L3" s="5">
        <f>IF(K3&lt;150000,"מתחת למינימום!","")</f>
        <v/>
      </c>
    </row>
    <row r="4">
      <c r="A4" s="5" t="inlineStr">
        <is>
          <t>שבוע 3 (19/07)</t>
        </is>
      </c>
      <c r="B4" s="6">
        <f>K3</f>
        <v/>
      </c>
      <c r="C4" s="6" t="n">
        <v>156000</v>
      </c>
      <c r="D4" s="6" t="n">
        <v>0</v>
      </c>
      <c r="E4" s="6" t="n">
        <v>88000</v>
      </c>
      <c r="F4" s="6" t="n">
        <v>0</v>
      </c>
      <c r="G4" s="6" t="n">
        <v>0</v>
      </c>
      <c r="H4" s="6" t="n">
        <v>0</v>
      </c>
      <c r="I4" s="6" t="n">
        <v>22000</v>
      </c>
      <c r="J4" s="6" t="n">
        <v>0</v>
      </c>
      <c r="K4" s="6">
        <f>B4+C4-SUM(D4:J4)</f>
        <v/>
      </c>
      <c r="L4" s="5">
        <f>IF(K4&lt;150000,"מתחת למינימום!","")</f>
        <v/>
      </c>
    </row>
    <row r="5">
      <c r="A5" s="5" t="inlineStr">
        <is>
          <t>שבוע 4 (26/07)</t>
        </is>
      </c>
      <c r="B5" s="6">
        <f>K4</f>
        <v/>
      </c>
      <c r="C5" s="6" t="n">
        <v>191000</v>
      </c>
      <c r="D5" s="6" t="n">
        <v>0</v>
      </c>
      <c r="E5" s="6" t="n">
        <v>97000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>
        <f>B5+C5-SUM(D5:J5)</f>
        <v/>
      </c>
      <c r="L5" s="5">
        <f>IF(K5&lt;150000,"מתחת למינימום!","")</f>
        <v/>
      </c>
    </row>
    <row r="6">
      <c r="A6" s="5" t="inlineStr">
        <is>
          <t>שבוע 5 (02/08)</t>
        </is>
      </c>
      <c r="B6" s="6">
        <f>K5</f>
        <v/>
      </c>
      <c r="C6" s="6" t="n">
        <v>148000</v>
      </c>
      <c r="D6" s="6" t="n">
        <v>118000</v>
      </c>
      <c r="E6" s="6" t="n">
        <v>101000</v>
      </c>
      <c r="F6" s="6" t="n">
        <v>0</v>
      </c>
      <c r="G6" s="6" t="n">
        <v>36000</v>
      </c>
      <c r="H6" s="6" t="n">
        <v>0</v>
      </c>
      <c r="I6" s="6" t="n">
        <v>0</v>
      </c>
      <c r="J6" s="6" t="n">
        <v>0</v>
      </c>
      <c r="K6" s="6">
        <f>B6+C6-SUM(D6:J6)</f>
        <v/>
      </c>
      <c r="L6" s="5">
        <f>IF(K6&lt;150000,"מתחת למינימום!","")</f>
        <v/>
      </c>
    </row>
    <row r="7">
      <c r="A7" s="5" t="inlineStr">
        <is>
          <t>שבוע 6 (09/08)</t>
        </is>
      </c>
      <c r="B7" s="6">
        <f>K6</f>
        <v/>
      </c>
      <c r="C7" s="6" t="n">
        <v>185000</v>
      </c>
      <c r="D7" s="6" t="n">
        <v>0</v>
      </c>
      <c r="E7" s="6" t="n">
        <v>93000</v>
      </c>
      <c r="F7" s="6" t="n">
        <v>61000</v>
      </c>
      <c r="G7" s="6" t="n">
        <v>0</v>
      </c>
      <c r="H7" s="6" t="n">
        <v>0</v>
      </c>
      <c r="I7" s="6" t="n">
        <v>0</v>
      </c>
      <c r="J7" s="6" t="n">
        <v>140000</v>
      </c>
      <c r="K7" s="6">
        <f>B7+C7-SUM(D7:J7)</f>
        <v/>
      </c>
      <c r="L7" s="5">
        <f>IF(K7&lt;150000,"מתחת למינימום!","")</f>
        <v/>
      </c>
    </row>
    <row r="8">
      <c r="A8" s="5" t="inlineStr">
        <is>
          <t>שבוע 7 (16/08)</t>
        </is>
      </c>
      <c r="B8" s="6">
        <f>K7</f>
        <v/>
      </c>
      <c r="C8" s="6" t="n">
        <v>159000</v>
      </c>
      <c r="D8" s="6" t="n">
        <v>0</v>
      </c>
      <c r="E8" s="6" t="n">
        <v>110000</v>
      </c>
      <c r="F8" s="6" t="n">
        <v>0</v>
      </c>
      <c r="G8" s="6" t="n">
        <v>0</v>
      </c>
      <c r="H8" s="6" t="n">
        <v>45000</v>
      </c>
      <c r="I8" s="6" t="n">
        <v>22000</v>
      </c>
      <c r="J8" s="6" t="n">
        <v>0</v>
      </c>
      <c r="K8" s="6">
        <f>B8+C8-SUM(D8:J8)</f>
        <v/>
      </c>
      <c r="L8" s="5">
        <f>IF(K8&lt;150000,"מתחת למינימום!","")</f>
        <v/>
      </c>
    </row>
    <row r="9">
      <c r="A9" s="5" t="inlineStr">
        <is>
          <t>שבוע 8 (23/08)</t>
        </is>
      </c>
      <c r="B9" s="6">
        <f>K8</f>
        <v/>
      </c>
      <c r="C9" s="6" t="n">
        <v>200000</v>
      </c>
      <c r="D9" s="6" t="n">
        <v>0</v>
      </c>
      <c r="E9" s="6" t="n">
        <v>99000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>
        <f>B9+C9-SUM(D9:J9)</f>
        <v/>
      </c>
      <c r="L9" s="5">
        <f>IF(K9&lt;150000,"מתחת למינימום!","")</f>
        <v/>
      </c>
    </row>
    <row r="10">
      <c r="A10" s="5" t="inlineStr">
        <is>
          <t>שבוע 9 (30/08)</t>
        </is>
      </c>
      <c r="B10" s="6">
        <f>K9</f>
        <v/>
      </c>
      <c r="C10" s="6" t="n">
        <v>151000</v>
      </c>
      <c r="D10" s="6" t="n">
        <v>118000</v>
      </c>
      <c r="E10" s="6" t="n">
        <v>86000</v>
      </c>
      <c r="F10" s="6" t="n">
        <v>0</v>
      </c>
      <c r="G10" s="6" t="n">
        <v>36000</v>
      </c>
      <c r="H10" s="6" t="n">
        <v>0</v>
      </c>
      <c r="I10" s="6" t="n">
        <v>0</v>
      </c>
      <c r="J10" s="6" t="n">
        <v>0</v>
      </c>
      <c r="K10" s="6">
        <f>B10+C10-SUM(D10:J10)</f>
        <v/>
      </c>
      <c r="L10" s="5">
        <f>IF(K10&lt;150000,"מתחת למינימום!","")</f>
        <v/>
      </c>
    </row>
    <row r="11">
      <c r="A11" s="5" t="inlineStr">
        <is>
          <t>שבוע 10 (06/09)</t>
        </is>
      </c>
      <c r="B11" s="6">
        <f>K10</f>
        <v/>
      </c>
      <c r="C11" s="6" t="n">
        <v>177000</v>
      </c>
      <c r="D11" s="6" t="n">
        <v>0</v>
      </c>
      <c r="E11" s="6" t="n">
        <v>102000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>
        <f>B11+C11-SUM(D11:J11)</f>
        <v/>
      </c>
      <c r="L11" s="5">
        <f>IF(K11&lt;150000,"מתחת למינימום!","")</f>
        <v/>
      </c>
    </row>
    <row r="12">
      <c r="A12" s="5" t="inlineStr">
        <is>
          <t>שבוע 11 (13/09)</t>
        </is>
      </c>
      <c r="B12" s="6">
        <f>K11</f>
        <v/>
      </c>
      <c r="C12" s="6" t="n">
        <v>196000</v>
      </c>
      <c r="D12" s="6" t="n">
        <v>0</v>
      </c>
      <c r="E12" s="6" t="n">
        <v>95000</v>
      </c>
      <c r="F12" s="6" t="n">
        <v>61000</v>
      </c>
      <c r="G12" s="6" t="n">
        <v>0</v>
      </c>
      <c r="H12" s="6" t="n">
        <v>0</v>
      </c>
      <c r="I12" s="6" t="n">
        <v>0</v>
      </c>
      <c r="J12" s="6" t="n">
        <v>0</v>
      </c>
      <c r="K12" s="6">
        <f>B12+C12-SUM(D12:J12)</f>
        <v/>
      </c>
      <c r="L12" s="5">
        <f>IF(K12&lt;150000,"מתחת למינימום!","")</f>
        <v/>
      </c>
    </row>
    <row r="13">
      <c r="A13" s="5" t="inlineStr">
        <is>
          <t>שבוע 12 (20/09)</t>
        </is>
      </c>
      <c r="B13" s="6">
        <f>K12</f>
        <v/>
      </c>
      <c r="C13" s="6" t="n">
        <v>164000</v>
      </c>
      <c r="D13" s="6" t="n">
        <v>0</v>
      </c>
      <c r="E13" s="6" t="n">
        <v>108000</v>
      </c>
      <c r="F13" s="6" t="n">
        <v>0</v>
      </c>
      <c r="G13" s="6" t="n">
        <v>0</v>
      </c>
      <c r="H13" s="6" t="n">
        <v>0</v>
      </c>
      <c r="I13" s="6" t="n">
        <v>22000</v>
      </c>
      <c r="J13" s="6" t="n">
        <v>0</v>
      </c>
      <c r="K13" s="6">
        <f>B13+C13-SUM(D13:J13)</f>
        <v/>
      </c>
      <c r="L13" s="5">
        <f>IF(K13&lt;150000,"מתחת למינימום!","")</f>
        <v/>
      </c>
    </row>
    <row r="14">
      <c r="A14" s="5" t="inlineStr">
        <is>
          <t>שבוע 13 (27/09)</t>
        </is>
      </c>
      <c r="B14" s="6">
        <f>K13</f>
        <v/>
      </c>
      <c r="C14" s="6" t="n">
        <v>188000</v>
      </c>
      <c r="D14" s="6" t="n">
        <v>118000</v>
      </c>
      <c r="E14" s="6" t="n">
        <v>90000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>
        <f>B14+C14-SUM(D14:J14)</f>
        <v/>
      </c>
      <c r="L14" s="5">
        <f>IF(K14&lt;150000,"מתחת למינימום!","")</f>
        <v/>
      </c>
    </row>
    <row r="17">
      <c r="A17" s="9" t="inlineStr">
        <is>
          <t>שבועות מתחת למינימום: שבוע 6: 139,000 ₪; שבוע 7: 121,000 ₪; שבוע 9: 133,000 ₪</t>
        </is>
      </c>
    </row>
    <row r="18">
      <c r="A18" t="inlineStr">
        <is>
          <t>הצעות: שבועות 6-7 בגלל מקדמה חד פעמית על מכונה, שבוע 9 בגלל שכר ושכירות באותו שבוע. לדחות את המקדמה או לפרוס אותה, לבקש מסופר גליל לשלם מראש, לפרוס תשלום לספק גדול, או להשתמש במסגרת אשראי בבנק לתקופה קצרה.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