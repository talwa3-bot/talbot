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הוראות" sheetId="1" state="visible" r:id="rId1"/>
    <sheet name="מכירות" sheetId="2" state="visible" r:id="rId2"/>
    <sheet name="לקוחות" sheetId="3" state="visible" r:id="rId3"/>
    <sheet name="מוצרים" sheetId="4" state="visible" r:id="rId4"/>
    <sheet name="שאלות המנכ&quot;ל" sheetId="5" state="visible" r:id="rId5"/>
  </sheets>
  <definedNames>
    <definedName name="_xlnm._FilterDatabase" localSheetId="1" hidden="1">'מכירות'!$A$1:$L$404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#,##0;[Red]-#,##0"/>
    <numFmt numFmtId="167" formatCode="0.0%"/>
  </numFmts>
  <fonts count="4">
    <font>
      <name val="Calibri"/>
      <family val="2"/>
      <color theme="1"/>
      <sz val="11"/>
      <scheme val="minor"/>
    </font>
    <font>
      <b val="1"/>
      <color rgb="001F4E5A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5A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7C4C8"/>
      </left>
      <right style="thin">
        <color rgb="00B7C4C8"/>
      </right>
      <top style="thin">
        <color rgb="00B7C4C8"/>
      </top>
      <bottom style="thin">
        <color rgb="00B7C4C8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166" fontId="0" fillId="3" borderId="0" pivotButton="0" quotePrefix="0" xfId="0"/>
    <xf numFmtId="167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שלב 4 | אקסל לחשבת | חברת "אספקת בוקר בע"מ" | מכירות ינואר עד יוני 2026</t>
        </is>
      </c>
    </row>
    <row r="3">
      <c r="A3" s="2" t="inlineStr">
        <is>
          <t>הסיפור: המנכ"ל שואל שאלות על המכירות. יש לך קובץ גולמי מהמערכת (ייצוא). התשובות צריכות להיות מדויקות.</t>
        </is>
      </c>
    </row>
    <row r="4">
      <c r="A4" s="3" t="inlineStr">
        <is>
          <t>מקרא צבעים: כותרת כהה = נתון קבוע. תא צהוב = כאן את ממלאת. בקובץ הפתרון תאים ירוקים = התשובה.</t>
        </is>
      </c>
    </row>
    <row r="5">
      <c r="A5" s="2" t="inlineStr"/>
    </row>
    <row r="6">
      <c r="A6" s="3" t="inlineStr">
        <is>
          <t>משימה 1 (XLOOKUP): בגיליון "מכירות" מלאי בעמודה G את שם הלקוח מגיליון "לקוחות".</t>
        </is>
      </c>
    </row>
    <row r="7">
      <c r="A7" s="2" t="inlineStr">
        <is>
          <t xml:space="preserve">   נוסחה לדוגמה: =XLOOKUP(C2,'לקוחות'!A:A,'לקוחות'!B:B,"לא נמצא")</t>
        </is>
      </c>
    </row>
    <row r="8">
      <c r="A8" s="3" t="inlineStr">
        <is>
          <t>משימה 2: בעמודה H חשבי סכום לפני מע"מ = כמות × מחיר. בעמודה I: חודש =MONTH(A2).</t>
        </is>
      </c>
    </row>
    <row r="9">
      <c r="A9" s="3" t="inlineStr">
        <is>
          <t>משימה 3 (עלות ורווח): בעמודה J הביאי עלות ליחידה מגיליון "מוצרים" וחשבי בעמודה K רווח גולמי = (מחיר - עלות) × כמות.</t>
        </is>
      </c>
    </row>
    <row r="10">
      <c r="A10" s="3" t="inlineStr">
        <is>
          <t>משימה 4 (SUMIFS): בגיליון "שאלות המנכ"ל" ענו על כל השאלות בתאים הצהובים.</t>
        </is>
      </c>
    </row>
    <row r="11">
      <c r="A11" s="3" t="inlineStr">
        <is>
          <t>משימה 5 (טבלת ציר / Pivot): הוסיפי &gt; טבלת ציר. שורות = שם לקוח. עמודות = חודש. ערכים = סכום.</t>
        </is>
      </c>
    </row>
    <row r="12">
      <c r="A12" s="3" t="inlineStr">
        <is>
          <t>משימה 6 (בקרה): מצאי חשבוניות כפולות. רמז: =COUNTIF(B:B,B2)&gt;1 ואז סינון.</t>
        </is>
      </c>
    </row>
    <row r="13">
      <c r="A13" s="3" t="inlineStr">
        <is>
          <t>משימה 7 (בקרה): מצאי שורות עם קוד לקוח שלא קיים ברשימת הלקוחות. (משימה 1 כבר תראה "לא נמצא".)</t>
        </is>
      </c>
    </row>
    <row r="14">
      <c r="A14" s="2" t="inlineStr"/>
    </row>
    <row r="15">
      <c r="A15" s="2" t="inlineStr">
        <is>
          <t>למה זה חשוב? בראיון לחשבת כמעט תמיד יש מבחן אקסל. 80% מהמבחנים בודקים בדיוק את הכלים האלה.</t>
        </is>
      </c>
    </row>
    <row r="16">
      <c r="A16" s="2" t="inlineStr">
        <is>
          <t>אין לך XLOOKUP (אקסל ישן)? השתמשי ב-INDEX ו-MATCH או ב-VLOOKUP.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0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8" customWidth="1" min="5" max="5"/>
    <col width="12" customWidth="1" min="6" max="6"/>
    <col width="20" customWidth="1" min="7" max="7"/>
    <col width="16" customWidth="1" min="8" max="8"/>
    <col width="8" customWidth="1" min="9" max="9"/>
    <col width="12" customWidth="1" min="10" max="10"/>
    <col width="14" customWidth="1" min="11" max="11"/>
    <col width="10" customWidth="1" min="12" max="12"/>
  </cols>
  <sheetData>
    <row r="1">
      <c r="A1" s="4" t="inlineStr">
        <is>
          <t>תאריך</t>
        </is>
      </c>
      <c r="B1" s="4" t="inlineStr">
        <is>
          <t>מס' חשבונית</t>
        </is>
      </c>
      <c r="C1" s="4" t="inlineStr">
        <is>
          <t>קוד לקוח</t>
        </is>
      </c>
      <c r="D1" s="4" t="inlineStr">
        <is>
          <t>קוד מוצר</t>
        </is>
      </c>
      <c r="E1" s="4" t="inlineStr">
        <is>
          <t>כמות</t>
        </is>
      </c>
      <c r="F1" s="4" t="inlineStr">
        <is>
          <t>מחיר ליחידה</t>
        </is>
      </c>
      <c r="G1" s="4" t="inlineStr">
        <is>
          <t>שם לקוח</t>
        </is>
      </c>
      <c r="H1" s="4" t="inlineStr">
        <is>
          <t>סכום לפני מע"מ</t>
        </is>
      </c>
      <c r="I1" s="4" t="inlineStr">
        <is>
          <t>חודש</t>
        </is>
      </c>
      <c r="J1" s="4" t="inlineStr">
        <is>
          <t>עלות ליחידה</t>
        </is>
      </c>
      <c r="K1" s="4" t="inlineStr">
        <is>
          <t>רווח גולמי</t>
        </is>
      </c>
      <c r="L1" s="4" t="inlineStr">
        <is>
          <t>כפולה?</t>
        </is>
      </c>
    </row>
    <row r="2">
      <c r="A2" s="5" t="n">
        <v>46023</v>
      </c>
      <c r="B2" s="6" t="n">
        <v>50001</v>
      </c>
      <c r="C2" s="6" t="inlineStr">
        <is>
          <t>C104</t>
        </is>
      </c>
      <c r="D2" s="6" t="inlineStr">
        <is>
          <t>P05</t>
        </is>
      </c>
      <c r="E2" s="6" t="n">
        <v>14</v>
      </c>
      <c r="F2" s="7" t="n">
        <v>150</v>
      </c>
      <c r="G2" s="6">
        <f>IFERROR(INDEX('לקוחות'!$B:$B,MATCH(C2,'לקוחות'!$A:$A,0)),"לא נמצא")</f>
        <v/>
      </c>
      <c r="H2" s="7">
        <f>E2*F2</f>
        <v/>
      </c>
      <c r="I2" s="6">
        <f>MONTH(A2)</f>
        <v/>
      </c>
      <c r="J2" s="7">
        <f>INDEX('מוצרים'!$D:$D,MATCH(D2,'מוצרים'!$A:$A,0))</f>
        <v/>
      </c>
      <c r="K2" s="7">
        <f>(F2-J2)*E2</f>
        <v/>
      </c>
      <c r="L2" s="6">
        <f>IF(COUNTIF($B:$B,B2)&gt;1,"כפולה","")</f>
        <v/>
      </c>
    </row>
    <row r="3">
      <c r="A3" s="5" t="n">
        <v>46023</v>
      </c>
      <c r="B3" s="6" t="n">
        <v>50002</v>
      </c>
      <c r="C3" s="6" t="inlineStr">
        <is>
          <t>C108</t>
        </is>
      </c>
      <c r="D3" s="6" t="inlineStr">
        <is>
          <t>P08</t>
        </is>
      </c>
      <c r="E3" s="6" t="n">
        <v>27</v>
      </c>
      <c r="F3" s="7" t="n">
        <v>179</v>
      </c>
      <c r="G3" s="6">
        <f>IFERROR(INDEX('לקוחות'!$B:$B,MATCH(C3,'לקוחות'!$A:$A,0)),"לא נמצא")</f>
        <v/>
      </c>
      <c r="H3" s="7">
        <f>E3*F3</f>
        <v/>
      </c>
      <c r="I3" s="6">
        <f>MONTH(A3)</f>
        <v/>
      </c>
      <c r="J3" s="7">
        <f>INDEX('מוצרים'!$D:$D,MATCH(D3,'מוצרים'!$A:$A,0))</f>
        <v/>
      </c>
      <c r="K3" s="7">
        <f>(F3-J3)*E3</f>
        <v/>
      </c>
      <c r="L3" s="6">
        <f>IF(COUNTIF($B:$B,B3)&gt;1,"כפולה","")</f>
        <v/>
      </c>
    </row>
    <row r="4">
      <c r="A4" s="5" t="n">
        <v>46024</v>
      </c>
      <c r="B4" s="6" t="n">
        <v>50003</v>
      </c>
      <c r="C4" s="6" t="inlineStr">
        <is>
          <t>C105</t>
        </is>
      </c>
      <c r="D4" s="6" t="inlineStr">
        <is>
          <t>P05</t>
        </is>
      </c>
      <c r="E4" s="6" t="n">
        <v>25</v>
      </c>
      <c r="F4" s="7" t="n">
        <v>150</v>
      </c>
      <c r="G4" s="6">
        <f>IFERROR(INDEX('לקוחות'!$B:$B,MATCH(C4,'לקוחות'!$A:$A,0)),"לא נמצא")</f>
        <v/>
      </c>
      <c r="H4" s="7">
        <f>E4*F4</f>
        <v/>
      </c>
      <c r="I4" s="6">
        <f>MONTH(A4)</f>
        <v/>
      </c>
      <c r="J4" s="7">
        <f>INDEX('מוצרים'!$D:$D,MATCH(D4,'מוצרים'!$A:$A,0))</f>
        <v/>
      </c>
      <c r="K4" s="7">
        <f>(F4-J4)*E4</f>
        <v/>
      </c>
      <c r="L4" s="6">
        <f>IF(COUNTIF($B:$B,B4)&gt;1,"כפולה","")</f>
        <v/>
      </c>
    </row>
    <row r="5">
      <c r="A5" s="5" t="n">
        <v>46026</v>
      </c>
      <c r="B5" s="6" t="n">
        <v>50004</v>
      </c>
      <c r="C5" s="6" t="inlineStr">
        <is>
          <t>C106</t>
        </is>
      </c>
      <c r="D5" s="6" t="inlineStr">
        <is>
          <t>P08</t>
        </is>
      </c>
      <c r="E5" s="6" t="n">
        <v>7</v>
      </c>
      <c r="F5" s="7" t="n">
        <v>199</v>
      </c>
      <c r="G5" s="6">
        <f>IFERROR(INDEX('לקוחות'!$B:$B,MATCH(C5,'לקוחות'!$A:$A,0)),"לא נמצא")</f>
        <v/>
      </c>
      <c r="H5" s="7">
        <f>E5*F5</f>
        <v/>
      </c>
      <c r="I5" s="6">
        <f>MONTH(A5)</f>
        <v/>
      </c>
      <c r="J5" s="7">
        <f>INDEX('מוצרים'!$D:$D,MATCH(D5,'מוצרים'!$A:$A,0))</f>
        <v/>
      </c>
      <c r="K5" s="7">
        <f>(F5-J5)*E5</f>
        <v/>
      </c>
      <c r="L5" s="6">
        <f>IF(COUNTIF($B:$B,B5)&gt;1,"כפולה","")</f>
        <v/>
      </c>
    </row>
    <row r="6">
      <c r="A6" s="5" t="n">
        <v>46026</v>
      </c>
      <c r="B6" s="6" t="n">
        <v>50005</v>
      </c>
      <c r="C6" s="6" t="inlineStr">
        <is>
          <t>C109</t>
        </is>
      </c>
      <c r="D6" s="6" t="inlineStr">
        <is>
          <t>P05</t>
        </is>
      </c>
      <c r="E6" s="6" t="n">
        <v>31</v>
      </c>
      <c r="F6" s="7" t="n">
        <v>150</v>
      </c>
      <c r="G6" s="6">
        <f>IFERROR(INDEX('לקוחות'!$B:$B,MATCH(C6,'לקוחות'!$A:$A,0)),"לא נמצא")</f>
        <v/>
      </c>
      <c r="H6" s="7">
        <f>E6*F6</f>
        <v/>
      </c>
      <c r="I6" s="6">
        <f>MONTH(A6)</f>
        <v/>
      </c>
      <c r="J6" s="7">
        <f>INDEX('מוצרים'!$D:$D,MATCH(D6,'מוצרים'!$A:$A,0))</f>
        <v/>
      </c>
      <c r="K6" s="7">
        <f>(F6-J6)*E6</f>
        <v/>
      </c>
      <c r="L6" s="6">
        <f>IF(COUNTIF($B:$B,B6)&gt;1,"כפולה","")</f>
        <v/>
      </c>
    </row>
    <row r="7">
      <c r="A7" s="5" t="n">
        <v>46027</v>
      </c>
      <c r="B7" s="6" t="n">
        <v>50006</v>
      </c>
      <c r="C7" s="6" t="inlineStr">
        <is>
          <t>C105</t>
        </is>
      </c>
      <c r="D7" s="6" t="inlineStr">
        <is>
          <t>P05</t>
        </is>
      </c>
      <c r="E7" s="6" t="n">
        <v>12</v>
      </c>
      <c r="F7" s="7" t="n">
        <v>150</v>
      </c>
      <c r="G7" s="6">
        <f>IFERROR(INDEX('לקוחות'!$B:$B,MATCH(C7,'לקוחות'!$A:$A,0)),"לא נמצא")</f>
        <v/>
      </c>
      <c r="H7" s="7">
        <f>E7*F7</f>
        <v/>
      </c>
      <c r="I7" s="6">
        <f>MONTH(A7)</f>
        <v/>
      </c>
      <c r="J7" s="7">
        <f>INDEX('מוצרים'!$D:$D,MATCH(D7,'מוצרים'!$A:$A,0))</f>
        <v/>
      </c>
      <c r="K7" s="7">
        <f>(F7-J7)*E7</f>
        <v/>
      </c>
      <c r="L7" s="6">
        <f>IF(COUNTIF($B:$B,B7)&gt;1,"כפולה","")</f>
        <v/>
      </c>
    </row>
    <row r="8">
      <c r="A8" s="5" t="n">
        <v>46028</v>
      </c>
      <c r="B8" s="6" t="n">
        <v>50007</v>
      </c>
      <c r="C8" s="6" t="inlineStr">
        <is>
          <t>C109</t>
        </is>
      </c>
      <c r="D8" s="6" t="inlineStr">
        <is>
          <t>P03</t>
        </is>
      </c>
      <c r="E8" s="6" t="n">
        <v>16</v>
      </c>
      <c r="F8" s="7" t="n">
        <v>13</v>
      </c>
      <c r="G8" s="6">
        <f>IFERROR(INDEX('לקוחות'!$B:$B,MATCH(C8,'לקוחות'!$A:$A,0)),"לא נמצא")</f>
        <v/>
      </c>
      <c r="H8" s="7">
        <f>E8*F8</f>
        <v/>
      </c>
      <c r="I8" s="6">
        <f>MONTH(A8)</f>
        <v/>
      </c>
      <c r="J8" s="7">
        <f>INDEX('מוצרים'!$D:$D,MATCH(D8,'מוצרים'!$A:$A,0))</f>
        <v/>
      </c>
      <c r="K8" s="7">
        <f>(F8-J8)*E8</f>
        <v/>
      </c>
      <c r="L8" s="6">
        <f>IF(COUNTIF($B:$B,B8)&gt;1,"כפולה","")</f>
        <v/>
      </c>
    </row>
    <row r="9">
      <c r="A9" s="5" t="n">
        <v>46029</v>
      </c>
      <c r="B9" s="6" t="n">
        <v>50008</v>
      </c>
      <c r="C9" s="6" t="inlineStr">
        <is>
          <t>C108</t>
        </is>
      </c>
      <c r="D9" s="6" t="inlineStr">
        <is>
          <t>P04</t>
        </is>
      </c>
      <c r="E9" s="6" t="n">
        <v>35</v>
      </c>
      <c r="F9" s="7" t="n">
        <v>32</v>
      </c>
      <c r="G9" s="6">
        <f>IFERROR(INDEX('לקוחות'!$B:$B,MATCH(C9,'לקוחות'!$A:$A,0)),"לא נמצא")</f>
        <v/>
      </c>
      <c r="H9" s="7">
        <f>E9*F9</f>
        <v/>
      </c>
      <c r="I9" s="6">
        <f>MONTH(A9)</f>
        <v/>
      </c>
      <c r="J9" s="7">
        <f>INDEX('מוצרים'!$D:$D,MATCH(D9,'מוצרים'!$A:$A,0))</f>
        <v/>
      </c>
      <c r="K9" s="7">
        <f>(F9-J9)*E9</f>
        <v/>
      </c>
      <c r="L9" s="6">
        <f>IF(COUNTIF($B:$B,B9)&gt;1,"כפולה","")</f>
        <v/>
      </c>
    </row>
    <row r="10">
      <c r="A10" s="5" t="n">
        <v>46029</v>
      </c>
      <c r="B10" s="6" t="n">
        <v>50009</v>
      </c>
      <c r="C10" s="6" t="inlineStr">
        <is>
          <t>C102</t>
        </is>
      </c>
      <c r="D10" s="6" t="inlineStr">
        <is>
          <t>P01</t>
        </is>
      </c>
      <c r="E10" s="6" t="n">
        <v>23</v>
      </c>
      <c r="F10" s="7" t="n">
        <v>85</v>
      </c>
      <c r="G10" s="6">
        <f>IFERROR(INDEX('לקוחות'!$B:$B,MATCH(C10,'לקוחות'!$A:$A,0)),"לא נמצא")</f>
        <v/>
      </c>
      <c r="H10" s="7">
        <f>E10*F10</f>
        <v/>
      </c>
      <c r="I10" s="6">
        <f>MONTH(A10)</f>
        <v/>
      </c>
      <c r="J10" s="7">
        <f>INDEX('מוצרים'!$D:$D,MATCH(D10,'מוצרים'!$A:$A,0))</f>
        <v/>
      </c>
      <c r="K10" s="7">
        <f>(F10-J10)*E10</f>
        <v/>
      </c>
      <c r="L10" s="6">
        <f>IF(COUNTIF($B:$B,B10)&gt;1,"כפולה","")</f>
        <v/>
      </c>
    </row>
    <row r="11">
      <c r="A11" s="5" t="n">
        <v>46030</v>
      </c>
      <c r="B11" s="6" t="n">
        <v>50010</v>
      </c>
      <c r="C11" s="6" t="inlineStr">
        <is>
          <t>C101</t>
        </is>
      </c>
      <c r="D11" s="6" t="inlineStr">
        <is>
          <t>P04</t>
        </is>
      </c>
      <c r="E11" s="6" t="n">
        <v>15</v>
      </c>
      <c r="F11" s="7" t="n">
        <v>32</v>
      </c>
      <c r="G11" s="6">
        <f>IFERROR(INDEX('לקוחות'!$B:$B,MATCH(C11,'לקוחות'!$A:$A,0)),"לא נמצא")</f>
        <v/>
      </c>
      <c r="H11" s="7">
        <f>E11*F11</f>
        <v/>
      </c>
      <c r="I11" s="6">
        <f>MONTH(A11)</f>
        <v/>
      </c>
      <c r="J11" s="7">
        <f>INDEX('מוצרים'!$D:$D,MATCH(D11,'מוצרים'!$A:$A,0))</f>
        <v/>
      </c>
      <c r="K11" s="7">
        <f>(F11-J11)*E11</f>
        <v/>
      </c>
      <c r="L11" s="6">
        <f>IF(COUNTIF($B:$B,B11)&gt;1,"כפולה","")</f>
        <v/>
      </c>
    </row>
    <row r="12">
      <c r="A12" s="5" t="n">
        <v>46030</v>
      </c>
      <c r="B12" s="6" t="n">
        <v>50011</v>
      </c>
      <c r="C12" s="6" t="inlineStr">
        <is>
          <t>C100</t>
        </is>
      </c>
      <c r="D12" s="6" t="inlineStr">
        <is>
          <t>P06</t>
        </is>
      </c>
      <c r="E12" s="6" t="n">
        <v>4</v>
      </c>
      <c r="F12" s="7" t="n">
        <v>70</v>
      </c>
      <c r="G12" s="6">
        <f>IFERROR(INDEX('לקוחות'!$B:$B,MATCH(C12,'לקוחות'!$A:$A,0)),"לא נמצא")</f>
        <v/>
      </c>
      <c r="H12" s="7">
        <f>E12*F12</f>
        <v/>
      </c>
      <c r="I12" s="6">
        <f>MONTH(A12)</f>
        <v/>
      </c>
      <c r="J12" s="7">
        <f>INDEX('מוצרים'!$D:$D,MATCH(D12,'מוצרים'!$A:$A,0))</f>
        <v/>
      </c>
      <c r="K12" s="7">
        <f>(F12-J12)*E12</f>
        <v/>
      </c>
      <c r="L12" s="6">
        <f>IF(COUNTIF($B:$B,B12)&gt;1,"כפולה","")</f>
        <v/>
      </c>
    </row>
    <row r="13">
      <c r="A13" s="5" t="n">
        <v>46030</v>
      </c>
      <c r="B13" s="6" t="n">
        <v>50012</v>
      </c>
      <c r="C13" s="6" t="inlineStr">
        <is>
          <t>C100</t>
        </is>
      </c>
      <c r="D13" s="6" t="inlineStr">
        <is>
          <t>P08</t>
        </is>
      </c>
      <c r="E13" s="6" t="n">
        <v>26</v>
      </c>
      <c r="F13" s="7" t="n">
        <v>199</v>
      </c>
      <c r="G13" s="6">
        <f>IFERROR(INDEX('לקוחות'!$B:$B,MATCH(C13,'לקוחות'!$A:$A,0)),"לא נמצא")</f>
        <v/>
      </c>
      <c r="H13" s="7">
        <f>E13*F13</f>
        <v/>
      </c>
      <c r="I13" s="6">
        <f>MONTH(A13)</f>
        <v/>
      </c>
      <c r="J13" s="7">
        <f>INDEX('מוצרים'!$D:$D,MATCH(D13,'מוצרים'!$A:$A,0))</f>
        <v/>
      </c>
      <c r="K13" s="7">
        <f>(F13-J13)*E13</f>
        <v/>
      </c>
      <c r="L13" s="6">
        <f>IF(COUNTIF($B:$B,B13)&gt;1,"כפולה","")</f>
        <v/>
      </c>
    </row>
    <row r="14">
      <c r="A14" s="5" t="n">
        <v>46031</v>
      </c>
      <c r="B14" s="6" t="n">
        <v>50013</v>
      </c>
      <c r="C14" s="6" t="inlineStr">
        <is>
          <t>C109</t>
        </is>
      </c>
      <c r="D14" s="6" t="inlineStr">
        <is>
          <t>P03</t>
        </is>
      </c>
      <c r="E14" s="6" t="n">
        <v>29</v>
      </c>
      <c r="F14" s="7" t="n">
        <v>13</v>
      </c>
      <c r="G14" s="6">
        <f>IFERROR(INDEX('לקוחות'!$B:$B,MATCH(C14,'לקוחות'!$A:$A,0)),"לא נמצא")</f>
        <v/>
      </c>
      <c r="H14" s="7">
        <f>E14*F14</f>
        <v/>
      </c>
      <c r="I14" s="6">
        <f>MONTH(A14)</f>
        <v/>
      </c>
      <c r="J14" s="7">
        <f>INDEX('מוצרים'!$D:$D,MATCH(D14,'מוצרים'!$A:$A,0))</f>
        <v/>
      </c>
      <c r="K14" s="7">
        <f>(F14-J14)*E14</f>
        <v/>
      </c>
      <c r="L14" s="6">
        <f>IF(COUNTIF($B:$B,B14)&gt;1,"כפולה","")</f>
        <v/>
      </c>
    </row>
    <row r="15">
      <c r="A15" s="5" t="n">
        <v>46032</v>
      </c>
      <c r="B15" s="6" t="n">
        <v>50014</v>
      </c>
      <c r="C15" s="6" t="inlineStr">
        <is>
          <t>C104</t>
        </is>
      </c>
      <c r="D15" s="6" t="inlineStr">
        <is>
          <t>P08</t>
        </is>
      </c>
      <c r="E15" s="6" t="n">
        <v>8</v>
      </c>
      <c r="F15" s="7" t="n">
        <v>199</v>
      </c>
      <c r="G15" s="6">
        <f>IFERROR(INDEX('לקוחות'!$B:$B,MATCH(C15,'לקוחות'!$A:$A,0)),"לא נמצא")</f>
        <v/>
      </c>
      <c r="H15" s="7">
        <f>E15*F15</f>
        <v/>
      </c>
      <c r="I15" s="6">
        <f>MONTH(A15)</f>
        <v/>
      </c>
      <c r="J15" s="7">
        <f>INDEX('מוצרים'!$D:$D,MATCH(D15,'מוצרים'!$A:$A,0))</f>
        <v/>
      </c>
      <c r="K15" s="7">
        <f>(F15-J15)*E15</f>
        <v/>
      </c>
      <c r="L15" s="6">
        <f>IF(COUNTIF($B:$B,B15)&gt;1,"כפולה","")</f>
        <v/>
      </c>
    </row>
    <row r="16">
      <c r="A16" s="5" t="n">
        <v>46032</v>
      </c>
      <c r="B16" s="6" t="n">
        <v>50015</v>
      </c>
      <c r="C16" s="6" t="inlineStr">
        <is>
          <t>C100</t>
        </is>
      </c>
      <c r="D16" s="6" t="inlineStr">
        <is>
          <t>P06</t>
        </is>
      </c>
      <c r="E16" s="6" t="n">
        <v>19</v>
      </c>
      <c r="F16" s="7" t="n">
        <v>63</v>
      </c>
      <c r="G16" s="6">
        <f>IFERROR(INDEX('לקוחות'!$B:$B,MATCH(C16,'לקוחות'!$A:$A,0)),"לא נמצא")</f>
        <v/>
      </c>
      <c r="H16" s="7">
        <f>E16*F16</f>
        <v/>
      </c>
      <c r="I16" s="6">
        <f>MONTH(A16)</f>
        <v/>
      </c>
      <c r="J16" s="7">
        <f>INDEX('מוצרים'!$D:$D,MATCH(D16,'מוצרים'!$A:$A,0))</f>
        <v/>
      </c>
      <c r="K16" s="7">
        <f>(F16-J16)*E16</f>
        <v/>
      </c>
      <c r="L16" s="6">
        <f>IF(COUNTIF($B:$B,B16)&gt;1,"כפולה","")</f>
        <v/>
      </c>
    </row>
    <row r="17">
      <c r="A17" s="5" t="n">
        <v>46033</v>
      </c>
      <c r="B17" s="6" t="n">
        <v>50016</v>
      </c>
      <c r="C17" s="6" t="inlineStr">
        <is>
          <t>C105</t>
        </is>
      </c>
      <c r="D17" s="6" t="inlineStr">
        <is>
          <t>P04</t>
        </is>
      </c>
      <c r="E17" s="6" t="n">
        <v>16</v>
      </c>
      <c r="F17" s="7" t="n">
        <v>32</v>
      </c>
      <c r="G17" s="6">
        <f>IFERROR(INDEX('לקוחות'!$B:$B,MATCH(C17,'לקוחות'!$A:$A,0)),"לא נמצא")</f>
        <v/>
      </c>
      <c r="H17" s="7">
        <f>E17*F17</f>
        <v/>
      </c>
      <c r="I17" s="6">
        <f>MONTH(A17)</f>
        <v/>
      </c>
      <c r="J17" s="7">
        <f>INDEX('מוצרים'!$D:$D,MATCH(D17,'מוצרים'!$A:$A,0))</f>
        <v/>
      </c>
      <c r="K17" s="7">
        <f>(F17-J17)*E17</f>
        <v/>
      </c>
      <c r="L17" s="6">
        <f>IF(COUNTIF($B:$B,B17)&gt;1,"כפולה","")</f>
        <v/>
      </c>
    </row>
    <row r="18">
      <c r="A18" s="5" t="n">
        <v>46033</v>
      </c>
      <c r="B18" s="6" t="n">
        <v>50017</v>
      </c>
      <c r="C18" s="6" t="inlineStr">
        <is>
          <t>C106</t>
        </is>
      </c>
      <c r="D18" s="6" t="inlineStr">
        <is>
          <t>P01</t>
        </is>
      </c>
      <c r="E18" s="6" t="n">
        <v>30</v>
      </c>
      <c r="F18" s="7" t="n">
        <v>85</v>
      </c>
      <c r="G18" s="6">
        <f>IFERROR(INDEX('לקוחות'!$B:$B,MATCH(C18,'לקוחות'!$A:$A,0)),"לא נמצא")</f>
        <v/>
      </c>
      <c r="H18" s="7">
        <f>E18*F18</f>
        <v/>
      </c>
      <c r="I18" s="6">
        <f>MONTH(A18)</f>
        <v/>
      </c>
      <c r="J18" s="7">
        <f>INDEX('מוצרים'!$D:$D,MATCH(D18,'מוצרים'!$A:$A,0))</f>
        <v/>
      </c>
      <c r="K18" s="7">
        <f>(F18-J18)*E18</f>
        <v/>
      </c>
      <c r="L18" s="6">
        <f>IF(COUNTIF($B:$B,B18)&gt;1,"כפולה","")</f>
        <v/>
      </c>
    </row>
    <row r="19">
      <c r="A19" s="5" t="n">
        <v>46033</v>
      </c>
      <c r="B19" s="6" t="n">
        <v>50018</v>
      </c>
      <c r="C19" s="6" t="inlineStr">
        <is>
          <t>C107</t>
        </is>
      </c>
      <c r="D19" s="6" t="inlineStr">
        <is>
          <t>P04</t>
        </is>
      </c>
      <c r="E19" s="6" t="n">
        <v>21</v>
      </c>
      <c r="F19" s="7" t="n">
        <v>32</v>
      </c>
      <c r="G19" s="6">
        <f>IFERROR(INDEX('לקוחות'!$B:$B,MATCH(C19,'לקוחות'!$A:$A,0)),"לא נמצא")</f>
        <v/>
      </c>
      <c r="H19" s="7">
        <f>E19*F19</f>
        <v/>
      </c>
      <c r="I19" s="6">
        <f>MONTH(A19)</f>
        <v/>
      </c>
      <c r="J19" s="7">
        <f>INDEX('מוצרים'!$D:$D,MATCH(D19,'מוצרים'!$A:$A,0))</f>
        <v/>
      </c>
      <c r="K19" s="7">
        <f>(F19-J19)*E19</f>
        <v/>
      </c>
      <c r="L19" s="6">
        <f>IF(COUNTIF($B:$B,B19)&gt;1,"כפולה","")</f>
        <v/>
      </c>
    </row>
    <row r="20">
      <c r="A20" s="5" t="n">
        <v>46034</v>
      </c>
      <c r="B20" s="6" t="n">
        <v>50019</v>
      </c>
      <c r="C20" s="6" t="inlineStr">
        <is>
          <t>C100</t>
        </is>
      </c>
      <c r="D20" s="6" t="inlineStr">
        <is>
          <t>P06</t>
        </is>
      </c>
      <c r="E20" s="6" t="n">
        <v>9</v>
      </c>
      <c r="F20" s="7" t="n">
        <v>70</v>
      </c>
      <c r="G20" s="6">
        <f>IFERROR(INDEX('לקוחות'!$B:$B,MATCH(C20,'לקוחות'!$A:$A,0)),"לא נמצא")</f>
        <v/>
      </c>
      <c r="H20" s="7">
        <f>E20*F20</f>
        <v/>
      </c>
      <c r="I20" s="6">
        <f>MONTH(A20)</f>
        <v/>
      </c>
      <c r="J20" s="7">
        <f>INDEX('מוצרים'!$D:$D,MATCH(D20,'מוצרים'!$A:$A,0))</f>
        <v/>
      </c>
      <c r="K20" s="7">
        <f>(F20-J20)*E20</f>
        <v/>
      </c>
      <c r="L20" s="6">
        <f>IF(COUNTIF($B:$B,B20)&gt;1,"כפולה","")</f>
        <v/>
      </c>
    </row>
    <row r="21">
      <c r="A21" s="5" t="n">
        <v>46034</v>
      </c>
      <c r="B21" s="6" t="n">
        <v>50020</v>
      </c>
      <c r="C21" s="6" t="inlineStr">
        <is>
          <t>C106</t>
        </is>
      </c>
      <c r="D21" s="6" t="inlineStr">
        <is>
          <t>P01</t>
        </is>
      </c>
      <c r="E21" s="6" t="n">
        <v>34</v>
      </c>
      <c r="F21" s="7" t="n">
        <v>85</v>
      </c>
      <c r="G21" s="6">
        <f>IFERROR(INDEX('לקוחות'!$B:$B,MATCH(C21,'לקוחות'!$A:$A,0)),"לא נמצא")</f>
        <v/>
      </c>
      <c r="H21" s="7">
        <f>E21*F21</f>
        <v/>
      </c>
      <c r="I21" s="6">
        <f>MONTH(A21)</f>
        <v/>
      </c>
      <c r="J21" s="7">
        <f>INDEX('מוצרים'!$D:$D,MATCH(D21,'מוצרים'!$A:$A,0))</f>
        <v/>
      </c>
      <c r="K21" s="7">
        <f>(F21-J21)*E21</f>
        <v/>
      </c>
      <c r="L21" s="6">
        <f>IF(COUNTIF($B:$B,B21)&gt;1,"כפולה","")</f>
        <v/>
      </c>
    </row>
    <row r="22">
      <c r="A22" s="5" t="n">
        <v>46034</v>
      </c>
      <c r="B22" s="6" t="n">
        <v>50021</v>
      </c>
      <c r="C22" s="6" t="inlineStr">
        <is>
          <t>C103</t>
        </is>
      </c>
      <c r="D22" s="6" t="inlineStr">
        <is>
          <t>P08</t>
        </is>
      </c>
      <c r="E22" s="6" t="n">
        <v>40</v>
      </c>
      <c r="F22" s="7" t="n">
        <v>199</v>
      </c>
      <c r="G22" s="6">
        <f>IFERROR(INDEX('לקוחות'!$B:$B,MATCH(C22,'לקוחות'!$A:$A,0)),"לא נמצא")</f>
        <v/>
      </c>
      <c r="H22" s="7">
        <f>E22*F22</f>
        <v/>
      </c>
      <c r="I22" s="6">
        <f>MONTH(A22)</f>
        <v/>
      </c>
      <c r="J22" s="7">
        <f>INDEX('מוצרים'!$D:$D,MATCH(D22,'מוצרים'!$A:$A,0))</f>
        <v/>
      </c>
      <c r="K22" s="7">
        <f>(F22-J22)*E22</f>
        <v/>
      </c>
      <c r="L22" s="6">
        <f>IF(COUNTIF($B:$B,B22)&gt;1,"כפולה","")</f>
        <v/>
      </c>
    </row>
    <row r="23">
      <c r="A23" s="5" t="n">
        <v>46034</v>
      </c>
      <c r="B23" s="6" t="n">
        <v>50022</v>
      </c>
      <c r="C23" s="6" t="inlineStr">
        <is>
          <t>C103</t>
        </is>
      </c>
      <c r="D23" s="6" t="inlineStr">
        <is>
          <t>P07</t>
        </is>
      </c>
      <c r="E23" s="6" t="n">
        <v>39</v>
      </c>
      <c r="F23" s="7" t="n">
        <v>86</v>
      </c>
      <c r="G23" s="6">
        <f>IFERROR(INDEX('לקוחות'!$B:$B,MATCH(C23,'לקוחות'!$A:$A,0)),"לא נמצא")</f>
        <v/>
      </c>
      <c r="H23" s="7">
        <f>E23*F23</f>
        <v/>
      </c>
      <c r="I23" s="6">
        <f>MONTH(A23)</f>
        <v/>
      </c>
      <c r="J23" s="7">
        <f>INDEX('מוצרים'!$D:$D,MATCH(D23,'מוצרים'!$A:$A,0))</f>
        <v/>
      </c>
      <c r="K23" s="7">
        <f>(F23-J23)*E23</f>
        <v/>
      </c>
      <c r="L23" s="6">
        <f>IF(COUNTIF($B:$B,B23)&gt;1,"כפולה","")</f>
        <v/>
      </c>
    </row>
    <row r="24">
      <c r="A24" s="5" t="n">
        <v>46034</v>
      </c>
      <c r="B24" s="6" t="n">
        <v>50023</v>
      </c>
      <c r="C24" s="6" t="inlineStr">
        <is>
          <t>C106</t>
        </is>
      </c>
      <c r="D24" s="6" t="inlineStr">
        <is>
          <t>P06</t>
        </is>
      </c>
      <c r="E24" s="6" t="n">
        <v>17</v>
      </c>
      <c r="F24" s="7" t="n">
        <v>70</v>
      </c>
      <c r="G24" s="6">
        <f>IFERROR(INDEX('לקוחות'!$B:$B,MATCH(C24,'לקוחות'!$A:$A,0)),"לא נמצא")</f>
        <v/>
      </c>
      <c r="H24" s="7">
        <f>E24*F24</f>
        <v/>
      </c>
      <c r="I24" s="6">
        <f>MONTH(A24)</f>
        <v/>
      </c>
      <c r="J24" s="7">
        <f>INDEX('מוצרים'!$D:$D,MATCH(D24,'מוצרים'!$A:$A,0))</f>
        <v/>
      </c>
      <c r="K24" s="7">
        <f>(F24-J24)*E24</f>
        <v/>
      </c>
      <c r="L24" s="6">
        <f>IF(COUNTIF($B:$B,B24)&gt;1,"כפולה","")</f>
        <v/>
      </c>
    </row>
    <row r="25">
      <c r="A25" s="5" t="n">
        <v>46035</v>
      </c>
      <c r="B25" s="6" t="n">
        <v>50024</v>
      </c>
      <c r="C25" s="6" t="inlineStr">
        <is>
          <t>C104</t>
        </is>
      </c>
      <c r="D25" s="6" t="inlineStr">
        <is>
          <t>P07</t>
        </is>
      </c>
      <c r="E25" s="6" t="n">
        <v>40</v>
      </c>
      <c r="F25" s="7" t="n">
        <v>95</v>
      </c>
      <c r="G25" s="6">
        <f>IFERROR(INDEX('לקוחות'!$B:$B,MATCH(C25,'לקוחות'!$A:$A,0)),"לא נמצא")</f>
        <v/>
      </c>
      <c r="H25" s="7">
        <f>E25*F25</f>
        <v/>
      </c>
      <c r="I25" s="6">
        <f>MONTH(A25)</f>
        <v/>
      </c>
      <c r="J25" s="7">
        <f>INDEX('מוצרים'!$D:$D,MATCH(D25,'מוצרים'!$A:$A,0))</f>
        <v/>
      </c>
      <c r="K25" s="7">
        <f>(F25-J25)*E25</f>
        <v/>
      </c>
      <c r="L25" s="6">
        <f>IF(COUNTIF($B:$B,B25)&gt;1,"כפולה","")</f>
        <v/>
      </c>
    </row>
    <row r="26">
      <c r="A26" s="5" t="n">
        <v>46036</v>
      </c>
      <c r="B26" s="6" t="n">
        <v>50025</v>
      </c>
      <c r="C26" s="6" t="inlineStr">
        <is>
          <t>C101</t>
        </is>
      </c>
      <c r="D26" s="6" t="inlineStr">
        <is>
          <t>P01</t>
        </is>
      </c>
      <c r="E26" s="6" t="n">
        <v>26</v>
      </c>
      <c r="F26" s="7" t="n">
        <v>85</v>
      </c>
      <c r="G26" s="6">
        <f>IFERROR(INDEX('לקוחות'!$B:$B,MATCH(C26,'לקוחות'!$A:$A,0)),"לא נמצא")</f>
        <v/>
      </c>
      <c r="H26" s="7">
        <f>E26*F26</f>
        <v/>
      </c>
      <c r="I26" s="6">
        <f>MONTH(A26)</f>
        <v/>
      </c>
      <c r="J26" s="7">
        <f>INDEX('מוצרים'!$D:$D,MATCH(D26,'מוצרים'!$A:$A,0))</f>
        <v/>
      </c>
      <c r="K26" s="7">
        <f>(F26-J26)*E26</f>
        <v/>
      </c>
      <c r="L26" s="6">
        <f>IF(COUNTIF($B:$B,B26)&gt;1,"כפולה","")</f>
        <v/>
      </c>
    </row>
    <row r="27">
      <c r="A27" s="5" t="n">
        <v>46036</v>
      </c>
      <c r="B27" s="6" t="n">
        <v>50026</v>
      </c>
      <c r="C27" s="6" t="inlineStr">
        <is>
          <t>C102</t>
        </is>
      </c>
      <c r="D27" s="6" t="inlineStr">
        <is>
          <t>P07</t>
        </is>
      </c>
      <c r="E27" s="6" t="n">
        <v>34</v>
      </c>
      <c r="F27" s="7" t="n">
        <v>95</v>
      </c>
      <c r="G27" s="6">
        <f>IFERROR(INDEX('לקוחות'!$B:$B,MATCH(C27,'לקוחות'!$A:$A,0)),"לא נמצא")</f>
        <v/>
      </c>
      <c r="H27" s="7">
        <f>E27*F27</f>
        <v/>
      </c>
      <c r="I27" s="6">
        <f>MONTH(A27)</f>
        <v/>
      </c>
      <c r="J27" s="7">
        <f>INDEX('מוצרים'!$D:$D,MATCH(D27,'מוצרים'!$A:$A,0))</f>
        <v/>
      </c>
      <c r="K27" s="7">
        <f>(F27-J27)*E27</f>
        <v/>
      </c>
      <c r="L27" s="6">
        <f>IF(COUNTIF($B:$B,B27)&gt;1,"כפולה","")</f>
        <v/>
      </c>
    </row>
    <row r="28">
      <c r="A28" s="5" t="n">
        <v>46036</v>
      </c>
      <c r="B28" s="6" t="n">
        <v>50027</v>
      </c>
      <c r="C28" s="6" t="inlineStr">
        <is>
          <t>C105</t>
        </is>
      </c>
      <c r="D28" s="6" t="inlineStr">
        <is>
          <t>P02</t>
        </is>
      </c>
      <c r="E28" s="6" t="n">
        <v>22</v>
      </c>
      <c r="F28" s="7" t="n">
        <v>110</v>
      </c>
      <c r="G28" s="6">
        <f>IFERROR(INDEX('לקוחות'!$B:$B,MATCH(C28,'לקוחות'!$A:$A,0)),"לא נמצא")</f>
        <v/>
      </c>
      <c r="H28" s="7">
        <f>E28*F28</f>
        <v/>
      </c>
      <c r="I28" s="6">
        <f>MONTH(A28)</f>
        <v/>
      </c>
      <c r="J28" s="7">
        <f>INDEX('מוצרים'!$D:$D,MATCH(D28,'מוצרים'!$A:$A,0))</f>
        <v/>
      </c>
      <c r="K28" s="7">
        <f>(F28-J28)*E28</f>
        <v/>
      </c>
      <c r="L28" s="6">
        <f>IF(COUNTIF($B:$B,B28)&gt;1,"כפולה","")</f>
        <v/>
      </c>
    </row>
    <row r="29">
      <c r="A29" s="5" t="n">
        <v>46037</v>
      </c>
      <c r="B29" s="6" t="n">
        <v>50028</v>
      </c>
      <c r="C29" s="6" t="inlineStr">
        <is>
          <t>C103</t>
        </is>
      </c>
      <c r="D29" s="6" t="inlineStr">
        <is>
          <t>P01</t>
        </is>
      </c>
      <c r="E29" s="6" t="n">
        <v>21</v>
      </c>
      <c r="F29" s="7" t="n">
        <v>85</v>
      </c>
      <c r="G29" s="6">
        <f>IFERROR(INDEX('לקוחות'!$B:$B,MATCH(C29,'לקוחות'!$A:$A,0)),"לא נמצא")</f>
        <v/>
      </c>
      <c r="H29" s="7">
        <f>E29*F29</f>
        <v/>
      </c>
      <c r="I29" s="6">
        <f>MONTH(A29)</f>
        <v/>
      </c>
      <c r="J29" s="7">
        <f>INDEX('מוצרים'!$D:$D,MATCH(D29,'מוצרים'!$A:$A,0))</f>
        <v/>
      </c>
      <c r="K29" s="7">
        <f>(F29-J29)*E29</f>
        <v/>
      </c>
      <c r="L29" s="6">
        <f>IF(COUNTIF($B:$B,B29)&gt;1,"כפולה","")</f>
        <v/>
      </c>
    </row>
    <row r="30">
      <c r="A30" s="5" t="n">
        <v>46037</v>
      </c>
      <c r="B30" s="6" t="n">
        <v>50029</v>
      </c>
      <c r="C30" s="6" t="inlineStr">
        <is>
          <t>C109</t>
        </is>
      </c>
      <c r="D30" s="6" t="inlineStr">
        <is>
          <t>P01</t>
        </is>
      </c>
      <c r="E30" s="6" t="n">
        <v>21</v>
      </c>
      <c r="F30" s="7" t="n">
        <v>76</v>
      </c>
      <c r="G30" s="6">
        <f>IFERROR(INDEX('לקוחות'!$B:$B,MATCH(C30,'לקוחות'!$A:$A,0)),"לא נמצא")</f>
        <v/>
      </c>
      <c r="H30" s="7">
        <f>E30*F30</f>
        <v/>
      </c>
      <c r="I30" s="6">
        <f>MONTH(A30)</f>
        <v/>
      </c>
      <c r="J30" s="7">
        <f>INDEX('מוצרים'!$D:$D,MATCH(D30,'מוצרים'!$A:$A,0))</f>
        <v/>
      </c>
      <c r="K30" s="7">
        <f>(F30-J30)*E30</f>
        <v/>
      </c>
      <c r="L30" s="6">
        <f>IF(COUNTIF($B:$B,B30)&gt;1,"כפולה","")</f>
        <v/>
      </c>
    </row>
    <row r="31">
      <c r="A31" s="5" t="n">
        <v>46037</v>
      </c>
      <c r="B31" s="6" t="n">
        <v>50030</v>
      </c>
      <c r="C31" s="6" t="inlineStr">
        <is>
          <t>C101</t>
        </is>
      </c>
      <c r="D31" s="6" t="inlineStr">
        <is>
          <t>P07</t>
        </is>
      </c>
      <c r="E31" s="6" t="n">
        <v>24</v>
      </c>
      <c r="F31" s="7" t="n">
        <v>95</v>
      </c>
      <c r="G31" s="6">
        <f>IFERROR(INDEX('לקוחות'!$B:$B,MATCH(C31,'לקוחות'!$A:$A,0)),"לא נמצא")</f>
        <v/>
      </c>
      <c r="H31" s="7">
        <f>E31*F31</f>
        <v/>
      </c>
      <c r="I31" s="6">
        <f>MONTH(A31)</f>
        <v/>
      </c>
      <c r="J31" s="7">
        <f>INDEX('מוצרים'!$D:$D,MATCH(D31,'מוצרים'!$A:$A,0))</f>
        <v/>
      </c>
      <c r="K31" s="7">
        <f>(F31-J31)*E31</f>
        <v/>
      </c>
      <c r="L31" s="6">
        <f>IF(COUNTIF($B:$B,B31)&gt;1,"כפולה","")</f>
        <v/>
      </c>
    </row>
    <row r="32">
      <c r="A32" s="5" t="n">
        <v>46037</v>
      </c>
      <c r="B32" s="6" t="n">
        <v>50031</v>
      </c>
      <c r="C32" s="6" t="inlineStr">
        <is>
          <t>C101</t>
        </is>
      </c>
      <c r="D32" s="6" t="inlineStr">
        <is>
          <t>P03</t>
        </is>
      </c>
      <c r="E32" s="6" t="n">
        <v>20</v>
      </c>
      <c r="F32" s="7" t="n">
        <v>13</v>
      </c>
      <c r="G32" s="6">
        <f>IFERROR(INDEX('לקוחות'!$B:$B,MATCH(C32,'לקוחות'!$A:$A,0)),"לא נמצא")</f>
        <v/>
      </c>
      <c r="H32" s="7">
        <f>E32*F32</f>
        <v/>
      </c>
      <c r="I32" s="6">
        <f>MONTH(A32)</f>
        <v/>
      </c>
      <c r="J32" s="7">
        <f>INDEX('מוצרים'!$D:$D,MATCH(D32,'מוצרים'!$A:$A,0))</f>
        <v/>
      </c>
      <c r="K32" s="7">
        <f>(F32-J32)*E32</f>
        <v/>
      </c>
      <c r="L32" s="6">
        <f>IF(COUNTIF($B:$B,B32)&gt;1,"כפולה","")</f>
        <v/>
      </c>
    </row>
    <row r="33">
      <c r="A33" s="5" t="n">
        <v>46038</v>
      </c>
      <c r="B33" s="6" t="n">
        <v>50032</v>
      </c>
      <c r="C33" s="6" t="inlineStr">
        <is>
          <t>C109</t>
        </is>
      </c>
      <c r="D33" s="6" t="inlineStr">
        <is>
          <t>P02</t>
        </is>
      </c>
      <c r="E33" s="6" t="n">
        <v>14</v>
      </c>
      <c r="F33" s="7" t="n">
        <v>110</v>
      </c>
      <c r="G33" s="6">
        <f>IFERROR(INDEX('לקוחות'!$B:$B,MATCH(C33,'לקוחות'!$A:$A,0)),"לא נמצא")</f>
        <v/>
      </c>
      <c r="H33" s="7">
        <f>E33*F33</f>
        <v/>
      </c>
      <c r="I33" s="6">
        <f>MONTH(A33)</f>
        <v/>
      </c>
      <c r="J33" s="7">
        <f>INDEX('מוצרים'!$D:$D,MATCH(D33,'מוצרים'!$A:$A,0))</f>
        <v/>
      </c>
      <c r="K33" s="7">
        <f>(F33-J33)*E33</f>
        <v/>
      </c>
      <c r="L33" s="6">
        <f>IF(COUNTIF($B:$B,B33)&gt;1,"כפולה","")</f>
        <v/>
      </c>
    </row>
    <row r="34">
      <c r="A34" s="5" t="n">
        <v>46038</v>
      </c>
      <c r="B34" s="6" t="n">
        <v>50033</v>
      </c>
      <c r="C34" s="6" t="inlineStr">
        <is>
          <t>C102</t>
        </is>
      </c>
      <c r="D34" s="6" t="inlineStr">
        <is>
          <t>P08</t>
        </is>
      </c>
      <c r="E34" s="6" t="n">
        <v>27</v>
      </c>
      <c r="F34" s="7" t="n">
        <v>199</v>
      </c>
      <c r="G34" s="6">
        <f>IFERROR(INDEX('לקוחות'!$B:$B,MATCH(C34,'לקוחות'!$A:$A,0)),"לא נמצא")</f>
        <v/>
      </c>
      <c r="H34" s="7">
        <f>E34*F34</f>
        <v/>
      </c>
      <c r="I34" s="6">
        <f>MONTH(A34)</f>
        <v/>
      </c>
      <c r="J34" s="7">
        <f>INDEX('מוצרים'!$D:$D,MATCH(D34,'מוצרים'!$A:$A,0))</f>
        <v/>
      </c>
      <c r="K34" s="7">
        <f>(F34-J34)*E34</f>
        <v/>
      </c>
      <c r="L34" s="6">
        <f>IF(COUNTIF($B:$B,B34)&gt;1,"כפולה","")</f>
        <v/>
      </c>
    </row>
    <row r="35">
      <c r="A35" s="5" t="n">
        <v>46039</v>
      </c>
      <c r="B35" s="6" t="n">
        <v>50034</v>
      </c>
      <c r="C35" s="6" t="inlineStr">
        <is>
          <t>C103</t>
        </is>
      </c>
      <c r="D35" s="6" t="inlineStr">
        <is>
          <t>P06</t>
        </is>
      </c>
      <c r="E35" s="6" t="n">
        <v>14</v>
      </c>
      <c r="F35" s="7" t="n">
        <v>70</v>
      </c>
      <c r="G35" s="6">
        <f>IFERROR(INDEX('לקוחות'!$B:$B,MATCH(C35,'לקוחות'!$A:$A,0)),"לא נמצא")</f>
        <v/>
      </c>
      <c r="H35" s="7">
        <f>E35*F35</f>
        <v/>
      </c>
      <c r="I35" s="6">
        <f>MONTH(A35)</f>
        <v/>
      </c>
      <c r="J35" s="7">
        <f>INDEX('מוצרים'!$D:$D,MATCH(D35,'מוצרים'!$A:$A,0))</f>
        <v/>
      </c>
      <c r="K35" s="7">
        <f>(F35-J35)*E35</f>
        <v/>
      </c>
      <c r="L35" s="6">
        <f>IF(COUNTIF($B:$B,B35)&gt;1,"כפולה","")</f>
        <v/>
      </c>
    </row>
    <row r="36">
      <c r="A36" s="5" t="n">
        <v>46039</v>
      </c>
      <c r="B36" s="6" t="n">
        <v>50035</v>
      </c>
      <c r="C36" s="6" t="inlineStr">
        <is>
          <t>C107</t>
        </is>
      </c>
      <c r="D36" s="6" t="inlineStr">
        <is>
          <t>P08</t>
        </is>
      </c>
      <c r="E36" s="6" t="n">
        <v>24</v>
      </c>
      <c r="F36" s="7" t="n">
        <v>199</v>
      </c>
      <c r="G36" s="6">
        <f>IFERROR(INDEX('לקוחות'!$B:$B,MATCH(C36,'לקוחות'!$A:$A,0)),"לא נמצא")</f>
        <v/>
      </c>
      <c r="H36" s="7">
        <f>E36*F36</f>
        <v/>
      </c>
      <c r="I36" s="6">
        <f>MONTH(A36)</f>
        <v/>
      </c>
      <c r="J36" s="7">
        <f>INDEX('מוצרים'!$D:$D,MATCH(D36,'מוצרים'!$A:$A,0))</f>
        <v/>
      </c>
      <c r="K36" s="7">
        <f>(F36-J36)*E36</f>
        <v/>
      </c>
      <c r="L36" s="6">
        <f>IF(COUNTIF($B:$B,B36)&gt;1,"כפולה","")</f>
        <v/>
      </c>
    </row>
    <row r="37">
      <c r="A37" s="5" t="n">
        <v>46040</v>
      </c>
      <c r="B37" s="6" t="n">
        <v>50036</v>
      </c>
      <c r="C37" s="6" t="inlineStr">
        <is>
          <t>C100</t>
        </is>
      </c>
      <c r="D37" s="6" t="inlineStr">
        <is>
          <t>P04</t>
        </is>
      </c>
      <c r="E37" s="6" t="n">
        <v>19</v>
      </c>
      <c r="F37" s="7" t="n">
        <v>32</v>
      </c>
      <c r="G37" s="6">
        <f>IFERROR(INDEX('לקוחות'!$B:$B,MATCH(C37,'לקוחות'!$A:$A,0)),"לא נמצא")</f>
        <v/>
      </c>
      <c r="H37" s="7">
        <f>E37*F37</f>
        <v/>
      </c>
      <c r="I37" s="6">
        <f>MONTH(A37)</f>
        <v/>
      </c>
      <c r="J37" s="7">
        <f>INDEX('מוצרים'!$D:$D,MATCH(D37,'מוצרים'!$A:$A,0))</f>
        <v/>
      </c>
      <c r="K37" s="7">
        <f>(F37-J37)*E37</f>
        <v/>
      </c>
      <c r="L37" s="6">
        <f>IF(COUNTIF($B:$B,B37)&gt;1,"כפולה","")</f>
        <v/>
      </c>
    </row>
    <row r="38">
      <c r="A38" s="5" t="n">
        <v>46040</v>
      </c>
      <c r="B38" s="6" t="n">
        <v>50037</v>
      </c>
      <c r="C38" s="6" t="inlineStr">
        <is>
          <t>C100</t>
        </is>
      </c>
      <c r="D38" s="6" t="inlineStr">
        <is>
          <t>P01</t>
        </is>
      </c>
      <c r="E38" s="6" t="n">
        <v>16</v>
      </c>
      <c r="F38" s="7" t="n">
        <v>85</v>
      </c>
      <c r="G38" s="6">
        <f>IFERROR(INDEX('לקוחות'!$B:$B,MATCH(C38,'לקוחות'!$A:$A,0)),"לא נמצא")</f>
        <v/>
      </c>
      <c r="H38" s="7">
        <f>E38*F38</f>
        <v/>
      </c>
      <c r="I38" s="6">
        <f>MONTH(A38)</f>
        <v/>
      </c>
      <c r="J38" s="7">
        <f>INDEX('מוצרים'!$D:$D,MATCH(D38,'מוצרים'!$A:$A,0))</f>
        <v/>
      </c>
      <c r="K38" s="7">
        <f>(F38-J38)*E38</f>
        <v/>
      </c>
      <c r="L38" s="6">
        <f>IF(COUNTIF($B:$B,B38)&gt;1,"כפולה","")</f>
        <v/>
      </c>
    </row>
    <row r="39">
      <c r="A39" s="5" t="n">
        <v>46041</v>
      </c>
      <c r="B39" s="6" t="n">
        <v>50038</v>
      </c>
      <c r="C39" s="6" t="inlineStr">
        <is>
          <t>C100</t>
        </is>
      </c>
      <c r="D39" s="6" t="inlineStr">
        <is>
          <t>P08</t>
        </is>
      </c>
      <c r="E39" s="6" t="n">
        <v>40</v>
      </c>
      <c r="F39" s="7" t="n">
        <v>199</v>
      </c>
      <c r="G39" s="6">
        <f>IFERROR(INDEX('לקוחות'!$B:$B,MATCH(C39,'לקוחות'!$A:$A,0)),"לא נמצא")</f>
        <v/>
      </c>
      <c r="H39" s="7">
        <f>E39*F39</f>
        <v/>
      </c>
      <c r="I39" s="6">
        <f>MONTH(A39)</f>
        <v/>
      </c>
      <c r="J39" s="7">
        <f>INDEX('מוצרים'!$D:$D,MATCH(D39,'מוצרים'!$A:$A,0))</f>
        <v/>
      </c>
      <c r="K39" s="7">
        <f>(F39-J39)*E39</f>
        <v/>
      </c>
      <c r="L39" s="6">
        <f>IF(COUNTIF($B:$B,B39)&gt;1,"כפולה","")</f>
        <v/>
      </c>
    </row>
    <row r="40">
      <c r="A40" s="5" t="n">
        <v>46041</v>
      </c>
      <c r="B40" s="6" t="n">
        <v>50038</v>
      </c>
      <c r="C40" s="6" t="inlineStr">
        <is>
          <t>C100</t>
        </is>
      </c>
      <c r="D40" s="6" t="inlineStr">
        <is>
          <t>P08</t>
        </is>
      </c>
      <c r="E40" s="6" t="n">
        <v>40</v>
      </c>
      <c r="F40" s="7" t="n">
        <v>199</v>
      </c>
      <c r="G40" s="6">
        <f>IFERROR(INDEX('לקוחות'!$B:$B,MATCH(C40,'לקוחות'!$A:$A,0)),"לא נמצא")</f>
        <v/>
      </c>
      <c r="H40" s="7">
        <f>E40*F40</f>
        <v/>
      </c>
      <c r="I40" s="6">
        <f>MONTH(A40)</f>
        <v/>
      </c>
      <c r="J40" s="7">
        <f>INDEX('מוצרים'!$D:$D,MATCH(D40,'מוצרים'!$A:$A,0))</f>
        <v/>
      </c>
      <c r="K40" s="7">
        <f>(F40-J40)*E40</f>
        <v/>
      </c>
      <c r="L40" s="6">
        <f>IF(COUNTIF($B:$B,B40)&gt;1,"כפולה","")</f>
        <v/>
      </c>
    </row>
    <row r="41">
      <c r="A41" s="5" t="n">
        <v>46041</v>
      </c>
      <c r="B41" s="6" t="n">
        <v>50039</v>
      </c>
      <c r="C41" s="6" t="inlineStr">
        <is>
          <t>C107</t>
        </is>
      </c>
      <c r="D41" s="6" t="inlineStr">
        <is>
          <t>P07</t>
        </is>
      </c>
      <c r="E41" s="6" t="n">
        <v>37</v>
      </c>
      <c r="F41" s="7" t="n">
        <v>95</v>
      </c>
      <c r="G41" s="6">
        <f>IFERROR(INDEX('לקוחות'!$B:$B,MATCH(C41,'לקוחות'!$A:$A,0)),"לא נמצא")</f>
        <v/>
      </c>
      <c r="H41" s="7">
        <f>E41*F41</f>
        <v/>
      </c>
      <c r="I41" s="6">
        <f>MONTH(A41)</f>
        <v/>
      </c>
      <c r="J41" s="7">
        <f>INDEX('מוצרים'!$D:$D,MATCH(D41,'מוצרים'!$A:$A,0))</f>
        <v/>
      </c>
      <c r="K41" s="7">
        <f>(F41-J41)*E41</f>
        <v/>
      </c>
      <c r="L41" s="6">
        <f>IF(COUNTIF($B:$B,B41)&gt;1,"כפולה","")</f>
        <v/>
      </c>
    </row>
    <row r="42">
      <c r="A42" s="5" t="n">
        <v>46041</v>
      </c>
      <c r="B42" s="6" t="n">
        <v>50040</v>
      </c>
      <c r="C42" s="6" t="inlineStr">
        <is>
          <t>C102</t>
        </is>
      </c>
      <c r="D42" s="6" t="inlineStr">
        <is>
          <t>P06</t>
        </is>
      </c>
      <c r="E42" s="6" t="n">
        <v>5</v>
      </c>
      <c r="F42" s="7" t="n">
        <v>70</v>
      </c>
      <c r="G42" s="6">
        <f>IFERROR(INDEX('לקוחות'!$B:$B,MATCH(C42,'לקוחות'!$A:$A,0)),"לא נמצא")</f>
        <v/>
      </c>
      <c r="H42" s="7">
        <f>E42*F42</f>
        <v/>
      </c>
      <c r="I42" s="6">
        <f>MONTH(A42)</f>
        <v/>
      </c>
      <c r="J42" s="7">
        <f>INDEX('מוצרים'!$D:$D,MATCH(D42,'מוצרים'!$A:$A,0))</f>
        <v/>
      </c>
      <c r="K42" s="7">
        <f>(F42-J42)*E42</f>
        <v/>
      </c>
      <c r="L42" s="6">
        <f>IF(COUNTIF($B:$B,B42)&gt;1,"כפולה","")</f>
        <v/>
      </c>
    </row>
    <row r="43">
      <c r="A43" s="5" t="n">
        <v>46042</v>
      </c>
      <c r="B43" s="6" t="n">
        <v>50041</v>
      </c>
      <c r="C43" s="6" t="inlineStr">
        <is>
          <t>C107</t>
        </is>
      </c>
      <c r="D43" s="6" t="inlineStr">
        <is>
          <t>P02</t>
        </is>
      </c>
      <c r="E43" s="6" t="n">
        <v>4</v>
      </c>
      <c r="F43" s="7" t="n">
        <v>110</v>
      </c>
      <c r="G43" s="6">
        <f>IFERROR(INDEX('לקוחות'!$B:$B,MATCH(C43,'לקוחות'!$A:$A,0)),"לא נמצא")</f>
        <v/>
      </c>
      <c r="H43" s="7">
        <f>E43*F43</f>
        <v/>
      </c>
      <c r="I43" s="6">
        <f>MONTH(A43)</f>
        <v/>
      </c>
      <c r="J43" s="7">
        <f>INDEX('מוצרים'!$D:$D,MATCH(D43,'מוצרים'!$A:$A,0))</f>
        <v/>
      </c>
      <c r="K43" s="7">
        <f>(F43-J43)*E43</f>
        <v/>
      </c>
      <c r="L43" s="6">
        <f>IF(COUNTIF($B:$B,B43)&gt;1,"כפולה","")</f>
        <v/>
      </c>
    </row>
    <row r="44">
      <c r="A44" s="5" t="n">
        <v>46042</v>
      </c>
      <c r="B44" s="6" t="n">
        <v>50042</v>
      </c>
      <c r="C44" s="6" t="inlineStr">
        <is>
          <t>C104</t>
        </is>
      </c>
      <c r="D44" s="6" t="inlineStr">
        <is>
          <t>P04</t>
        </is>
      </c>
      <c r="E44" s="6" t="n">
        <v>18</v>
      </c>
      <c r="F44" s="7" t="n">
        <v>32</v>
      </c>
      <c r="G44" s="6">
        <f>IFERROR(INDEX('לקוחות'!$B:$B,MATCH(C44,'לקוחות'!$A:$A,0)),"לא נמצא")</f>
        <v/>
      </c>
      <c r="H44" s="7">
        <f>E44*F44</f>
        <v/>
      </c>
      <c r="I44" s="6">
        <f>MONTH(A44)</f>
        <v/>
      </c>
      <c r="J44" s="7">
        <f>INDEX('מוצרים'!$D:$D,MATCH(D44,'מוצרים'!$A:$A,0))</f>
        <v/>
      </c>
      <c r="K44" s="7">
        <f>(F44-J44)*E44</f>
        <v/>
      </c>
      <c r="L44" s="6">
        <f>IF(COUNTIF($B:$B,B44)&gt;1,"כפולה","")</f>
        <v/>
      </c>
    </row>
    <row r="45">
      <c r="A45" s="5" t="n">
        <v>46042</v>
      </c>
      <c r="B45" s="6" t="n">
        <v>50043</v>
      </c>
      <c r="C45" s="6" t="inlineStr">
        <is>
          <t>C102</t>
        </is>
      </c>
      <c r="D45" s="6" t="inlineStr">
        <is>
          <t>P01</t>
        </is>
      </c>
      <c r="E45" s="6" t="n">
        <v>27</v>
      </c>
      <c r="F45" s="7" t="n">
        <v>85</v>
      </c>
      <c r="G45" s="6">
        <f>IFERROR(INDEX('לקוחות'!$B:$B,MATCH(C45,'לקוחות'!$A:$A,0)),"לא נמצא")</f>
        <v/>
      </c>
      <c r="H45" s="7">
        <f>E45*F45</f>
        <v/>
      </c>
      <c r="I45" s="6">
        <f>MONTH(A45)</f>
        <v/>
      </c>
      <c r="J45" s="7">
        <f>INDEX('מוצרים'!$D:$D,MATCH(D45,'מוצרים'!$A:$A,0))</f>
        <v/>
      </c>
      <c r="K45" s="7">
        <f>(F45-J45)*E45</f>
        <v/>
      </c>
      <c r="L45" s="6">
        <f>IF(COUNTIF($B:$B,B45)&gt;1,"כפולה","")</f>
        <v/>
      </c>
    </row>
    <row r="46">
      <c r="A46" s="5" t="n">
        <v>46042</v>
      </c>
      <c r="B46" s="6" t="n">
        <v>50044</v>
      </c>
      <c r="C46" s="6" t="inlineStr">
        <is>
          <t>C102</t>
        </is>
      </c>
      <c r="D46" s="6" t="inlineStr">
        <is>
          <t>P04</t>
        </is>
      </c>
      <c r="E46" s="6" t="n">
        <v>26</v>
      </c>
      <c r="F46" s="7" t="n">
        <v>32</v>
      </c>
      <c r="G46" s="6">
        <f>IFERROR(INDEX('לקוחות'!$B:$B,MATCH(C46,'לקוחות'!$A:$A,0)),"לא נמצא")</f>
        <v/>
      </c>
      <c r="H46" s="7">
        <f>E46*F46</f>
        <v/>
      </c>
      <c r="I46" s="6">
        <f>MONTH(A46)</f>
        <v/>
      </c>
      <c r="J46" s="7">
        <f>INDEX('מוצרים'!$D:$D,MATCH(D46,'מוצרים'!$A:$A,0))</f>
        <v/>
      </c>
      <c r="K46" s="7">
        <f>(F46-J46)*E46</f>
        <v/>
      </c>
      <c r="L46" s="6">
        <f>IF(COUNTIF($B:$B,B46)&gt;1,"כפולה","")</f>
        <v/>
      </c>
    </row>
    <row r="47">
      <c r="A47" s="5" t="n">
        <v>46043</v>
      </c>
      <c r="B47" s="6" t="n">
        <v>50045</v>
      </c>
      <c r="C47" s="6" t="inlineStr">
        <is>
          <t>C102</t>
        </is>
      </c>
      <c r="D47" s="6" t="inlineStr">
        <is>
          <t>P02</t>
        </is>
      </c>
      <c r="E47" s="6" t="n">
        <v>39</v>
      </c>
      <c r="F47" s="7" t="n">
        <v>99</v>
      </c>
      <c r="G47" s="6">
        <f>IFERROR(INDEX('לקוחות'!$B:$B,MATCH(C47,'לקוחות'!$A:$A,0)),"לא נמצא")</f>
        <v/>
      </c>
      <c r="H47" s="7">
        <f>E47*F47</f>
        <v/>
      </c>
      <c r="I47" s="6">
        <f>MONTH(A47)</f>
        <v/>
      </c>
      <c r="J47" s="7">
        <f>INDEX('מוצרים'!$D:$D,MATCH(D47,'מוצרים'!$A:$A,0))</f>
        <v/>
      </c>
      <c r="K47" s="7">
        <f>(F47-J47)*E47</f>
        <v/>
      </c>
      <c r="L47" s="6">
        <f>IF(COUNTIF($B:$B,B47)&gt;1,"כפולה","")</f>
        <v/>
      </c>
    </row>
    <row r="48">
      <c r="A48" s="5" t="n">
        <v>46043</v>
      </c>
      <c r="B48" s="6" t="n">
        <v>50046</v>
      </c>
      <c r="C48" s="6" t="inlineStr">
        <is>
          <t>C106</t>
        </is>
      </c>
      <c r="D48" s="6" t="inlineStr">
        <is>
          <t>P05</t>
        </is>
      </c>
      <c r="E48" s="6" t="n">
        <v>22</v>
      </c>
      <c r="F48" s="7" t="n">
        <v>150</v>
      </c>
      <c r="G48" s="6">
        <f>IFERROR(INDEX('לקוחות'!$B:$B,MATCH(C48,'לקוחות'!$A:$A,0)),"לא נמצא")</f>
        <v/>
      </c>
      <c r="H48" s="7">
        <f>E48*F48</f>
        <v/>
      </c>
      <c r="I48" s="6">
        <f>MONTH(A48)</f>
        <v/>
      </c>
      <c r="J48" s="7">
        <f>INDEX('מוצרים'!$D:$D,MATCH(D48,'מוצרים'!$A:$A,0))</f>
        <v/>
      </c>
      <c r="K48" s="7">
        <f>(F48-J48)*E48</f>
        <v/>
      </c>
      <c r="L48" s="6">
        <f>IF(COUNTIF($B:$B,B48)&gt;1,"כפולה","")</f>
        <v/>
      </c>
    </row>
    <row r="49">
      <c r="A49" s="5" t="n">
        <v>46043</v>
      </c>
      <c r="B49" s="6" t="n">
        <v>50047</v>
      </c>
      <c r="C49" s="6" t="inlineStr">
        <is>
          <t>C105</t>
        </is>
      </c>
      <c r="D49" s="6" t="inlineStr">
        <is>
          <t>P04</t>
        </is>
      </c>
      <c r="E49" s="6" t="n">
        <v>2</v>
      </c>
      <c r="F49" s="7" t="n">
        <v>32</v>
      </c>
      <c r="G49" s="6">
        <f>IFERROR(INDEX('לקוחות'!$B:$B,MATCH(C49,'לקוחות'!$A:$A,0)),"לא נמצא")</f>
        <v/>
      </c>
      <c r="H49" s="7">
        <f>E49*F49</f>
        <v/>
      </c>
      <c r="I49" s="6">
        <f>MONTH(A49)</f>
        <v/>
      </c>
      <c r="J49" s="7">
        <f>INDEX('מוצרים'!$D:$D,MATCH(D49,'מוצרים'!$A:$A,0))</f>
        <v/>
      </c>
      <c r="K49" s="7">
        <f>(F49-J49)*E49</f>
        <v/>
      </c>
      <c r="L49" s="6">
        <f>IF(COUNTIF($B:$B,B49)&gt;1,"כפולה","")</f>
        <v/>
      </c>
    </row>
    <row r="50">
      <c r="A50" s="5" t="n">
        <v>46043</v>
      </c>
      <c r="B50" s="6" t="n">
        <v>50048</v>
      </c>
      <c r="C50" s="6" t="inlineStr">
        <is>
          <t>C100</t>
        </is>
      </c>
      <c r="D50" s="6" t="inlineStr">
        <is>
          <t>P05</t>
        </is>
      </c>
      <c r="E50" s="6" t="n">
        <v>14</v>
      </c>
      <c r="F50" s="7" t="n">
        <v>150</v>
      </c>
      <c r="G50" s="6">
        <f>IFERROR(INDEX('לקוחות'!$B:$B,MATCH(C50,'לקוחות'!$A:$A,0)),"לא נמצא")</f>
        <v/>
      </c>
      <c r="H50" s="7">
        <f>E50*F50</f>
        <v/>
      </c>
      <c r="I50" s="6">
        <f>MONTH(A50)</f>
        <v/>
      </c>
      <c r="J50" s="7">
        <f>INDEX('מוצרים'!$D:$D,MATCH(D50,'מוצרים'!$A:$A,0))</f>
        <v/>
      </c>
      <c r="K50" s="7">
        <f>(F50-J50)*E50</f>
        <v/>
      </c>
      <c r="L50" s="6">
        <f>IF(COUNTIF($B:$B,B50)&gt;1,"כפולה","")</f>
        <v/>
      </c>
    </row>
    <row r="51">
      <c r="A51" s="5" t="n">
        <v>46043</v>
      </c>
      <c r="B51" s="6" t="n">
        <v>50049</v>
      </c>
      <c r="C51" s="6" t="inlineStr">
        <is>
          <t>C104</t>
        </is>
      </c>
      <c r="D51" s="6" t="inlineStr">
        <is>
          <t>P04</t>
        </is>
      </c>
      <c r="E51" s="6" t="n">
        <v>36</v>
      </c>
      <c r="F51" s="7" t="n">
        <v>32</v>
      </c>
      <c r="G51" s="6">
        <f>IFERROR(INDEX('לקוחות'!$B:$B,MATCH(C51,'לקוחות'!$A:$A,0)),"לא נמצא")</f>
        <v/>
      </c>
      <c r="H51" s="7">
        <f>E51*F51</f>
        <v/>
      </c>
      <c r="I51" s="6">
        <f>MONTH(A51)</f>
        <v/>
      </c>
      <c r="J51" s="7">
        <f>INDEX('מוצרים'!$D:$D,MATCH(D51,'מוצרים'!$A:$A,0))</f>
        <v/>
      </c>
      <c r="K51" s="7">
        <f>(F51-J51)*E51</f>
        <v/>
      </c>
      <c r="L51" s="6">
        <f>IF(COUNTIF($B:$B,B51)&gt;1,"כפולה","")</f>
        <v/>
      </c>
    </row>
    <row r="52">
      <c r="A52" s="5" t="n">
        <v>46044</v>
      </c>
      <c r="B52" s="6" t="n">
        <v>50050</v>
      </c>
      <c r="C52" s="6" t="inlineStr">
        <is>
          <t>C103</t>
        </is>
      </c>
      <c r="D52" s="6" t="inlineStr">
        <is>
          <t>P07</t>
        </is>
      </c>
      <c r="E52" s="6" t="n">
        <v>32</v>
      </c>
      <c r="F52" s="7" t="n">
        <v>95</v>
      </c>
      <c r="G52" s="6">
        <f>IFERROR(INDEX('לקוחות'!$B:$B,MATCH(C52,'לקוחות'!$A:$A,0)),"לא נמצא")</f>
        <v/>
      </c>
      <c r="H52" s="7">
        <f>E52*F52</f>
        <v/>
      </c>
      <c r="I52" s="6">
        <f>MONTH(A52)</f>
        <v/>
      </c>
      <c r="J52" s="7">
        <f>INDEX('מוצרים'!$D:$D,MATCH(D52,'מוצרים'!$A:$A,0))</f>
        <v/>
      </c>
      <c r="K52" s="7">
        <f>(F52-J52)*E52</f>
        <v/>
      </c>
      <c r="L52" s="6">
        <f>IF(COUNTIF($B:$B,B52)&gt;1,"כפולה","")</f>
        <v/>
      </c>
    </row>
    <row r="53">
      <c r="A53" s="5" t="n">
        <v>46044</v>
      </c>
      <c r="B53" s="6" t="n">
        <v>50051</v>
      </c>
      <c r="C53" s="6" t="inlineStr">
        <is>
          <t>C101</t>
        </is>
      </c>
      <c r="D53" s="6" t="inlineStr">
        <is>
          <t>P07</t>
        </is>
      </c>
      <c r="E53" s="6" t="n">
        <v>7</v>
      </c>
      <c r="F53" s="7" t="n">
        <v>95</v>
      </c>
      <c r="G53" s="6">
        <f>IFERROR(INDEX('לקוחות'!$B:$B,MATCH(C53,'לקוחות'!$A:$A,0)),"לא נמצא")</f>
        <v/>
      </c>
      <c r="H53" s="7">
        <f>E53*F53</f>
        <v/>
      </c>
      <c r="I53" s="6">
        <f>MONTH(A53)</f>
        <v/>
      </c>
      <c r="J53" s="7">
        <f>INDEX('מוצרים'!$D:$D,MATCH(D53,'מוצרים'!$A:$A,0))</f>
        <v/>
      </c>
      <c r="K53" s="7">
        <f>(F53-J53)*E53</f>
        <v/>
      </c>
      <c r="L53" s="6">
        <f>IF(COUNTIF($B:$B,B53)&gt;1,"כפולה","")</f>
        <v/>
      </c>
    </row>
    <row r="54">
      <c r="A54" s="5" t="n">
        <v>46044</v>
      </c>
      <c r="B54" s="6" t="n">
        <v>50052</v>
      </c>
      <c r="C54" s="6" t="inlineStr">
        <is>
          <t>C104</t>
        </is>
      </c>
      <c r="D54" s="6" t="inlineStr">
        <is>
          <t>P07</t>
        </is>
      </c>
      <c r="E54" s="6" t="n">
        <v>22</v>
      </c>
      <c r="F54" s="7" t="n">
        <v>95</v>
      </c>
      <c r="G54" s="6">
        <f>IFERROR(INDEX('לקוחות'!$B:$B,MATCH(C54,'לקוחות'!$A:$A,0)),"לא נמצא")</f>
        <v/>
      </c>
      <c r="H54" s="7">
        <f>E54*F54</f>
        <v/>
      </c>
      <c r="I54" s="6">
        <f>MONTH(A54)</f>
        <v/>
      </c>
      <c r="J54" s="7">
        <f>INDEX('מוצרים'!$D:$D,MATCH(D54,'מוצרים'!$A:$A,0))</f>
        <v/>
      </c>
      <c r="K54" s="7">
        <f>(F54-J54)*E54</f>
        <v/>
      </c>
      <c r="L54" s="6">
        <f>IF(COUNTIF($B:$B,B54)&gt;1,"כפולה","")</f>
        <v/>
      </c>
    </row>
    <row r="55">
      <c r="A55" s="5" t="n">
        <v>46044</v>
      </c>
      <c r="B55" s="6" t="n">
        <v>50053</v>
      </c>
      <c r="C55" s="6" t="inlineStr">
        <is>
          <t>C108</t>
        </is>
      </c>
      <c r="D55" s="6" t="inlineStr">
        <is>
          <t>P06</t>
        </is>
      </c>
      <c r="E55" s="6" t="n">
        <v>5</v>
      </c>
      <c r="F55" s="7" t="n">
        <v>70</v>
      </c>
      <c r="G55" s="6">
        <f>IFERROR(INDEX('לקוחות'!$B:$B,MATCH(C55,'לקוחות'!$A:$A,0)),"לא נמצא")</f>
        <v/>
      </c>
      <c r="H55" s="7">
        <f>E55*F55</f>
        <v/>
      </c>
      <c r="I55" s="6">
        <f>MONTH(A55)</f>
        <v/>
      </c>
      <c r="J55" s="7">
        <f>INDEX('מוצרים'!$D:$D,MATCH(D55,'מוצרים'!$A:$A,0))</f>
        <v/>
      </c>
      <c r="K55" s="7">
        <f>(F55-J55)*E55</f>
        <v/>
      </c>
      <c r="L55" s="6">
        <f>IF(COUNTIF($B:$B,B55)&gt;1,"כפולה","")</f>
        <v/>
      </c>
    </row>
    <row r="56">
      <c r="A56" s="5" t="n">
        <v>46044</v>
      </c>
      <c r="B56" s="6" t="n">
        <v>50054</v>
      </c>
      <c r="C56" s="6" t="inlineStr">
        <is>
          <t>C106</t>
        </is>
      </c>
      <c r="D56" s="6" t="inlineStr">
        <is>
          <t>P02</t>
        </is>
      </c>
      <c r="E56" s="6" t="n">
        <v>28</v>
      </c>
      <c r="F56" s="7" t="n">
        <v>110</v>
      </c>
      <c r="G56" s="6">
        <f>IFERROR(INDEX('לקוחות'!$B:$B,MATCH(C56,'לקוחות'!$A:$A,0)),"לא נמצא")</f>
        <v/>
      </c>
      <c r="H56" s="7">
        <f>E56*F56</f>
        <v/>
      </c>
      <c r="I56" s="6">
        <f>MONTH(A56)</f>
        <v/>
      </c>
      <c r="J56" s="7">
        <f>INDEX('מוצרים'!$D:$D,MATCH(D56,'מוצרים'!$A:$A,0))</f>
        <v/>
      </c>
      <c r="K56" s="7">
        <f>(F56-J56)*E56</f>
        <v/>
      </c>
      <c r="L56" s="6">
        <f>IF(COUNTIF($B:$B,B56)&gt;1,"כפולה","")</f>
        <v/>
      </c>
    </row>
    <row r="57">
      <c r="A57" s="5" t="n">
        <v>46045</v>
      </c>
      <c r="B57" s="6" t="n">
        <v>50055</v>
      </c>
      <c r="C57" s="6" t="inlineStr">
        <is>
          <t>C104</t>
        </is>
      </c>
      <c r="D57" s="6" t="inlineStr">
        <is>
          <t>P08</t>
        </is>
      </c>
      <c r="E57" s="6" t="n">
        <v>16</v>
      </c>
      <c r="F57" s="7" t="n">
        <v>199</v>
      </c>
      <c r="G57" s="6">
        <f>IFERROR(INDEX('לקוחות'!$B:$B,MATCH(C57,'לקוחות'!$A:$A,0)),"לא נמצא")</f>
        <v/>
      </c>
      <c r="H57" s="7">
        <f>E57*F57</f>
        <v/>
      </c>
      <c r="I57" s="6">
        <f>MONTH(A57)</f>
        <v/>
      </c>
      <c r="J57" s="7">
        <f>INDEX('מוצרים'!$D:$D,MATCH(D57,'מוצרים'!$A:$A,0))</f>
        <v/>
      </c>
      <c r="K57" s="7">
        <f>(F57-J57)*E57</f>
        <v/>
      </c>
      <c r="L57" s="6">
        <f>IF(COUNTIF($B:$B,B57)&gt;1,"כפולה","")</f>
        <v/>
      </c>
    </row>
    <row r="58">
      <c r="A58" s="5" t="n">
        <v>46046</v>
      </c>
      <c r="B58" s="6" t="n">
        <v>50056</v>
      </c>
      <c r="C58" s="6" t="inlineStr">
        <is>
          <t>C104</t>
        </is>
      </c>
      <c r="D58" s="6" t="inlineStr">
        <is>
          <t>P04</t>
        </is>
      </c>
      <c r="E58" s="6" t="n">
        <v>26</v>
      </c>
      <c r="F58" s="7" t="n">
        <v>32</v>
      </c>
      <c r="G58" s="6">
        <f>IFERROR(INDEX('לקוחות'!$B:$B,MATCH(C58,'לקוחות'!$A:$A,0)),"לא נמצא")</f>
        <v/>
      </c>
      <c r="H58" s="7">
        <f>E58*F58</f>
        <v/>
      </c>
      <c r="I58" s="6">
        <f>MONTH(A58)</f>
        <v/>
      </c>
      <c r="J58" s="7">
        <f>INDEX('מוצרים'!$D:$D,MATCH(D58,'מוצרים'!$A:$A,0))</f>
        <v/>
      </c>
      <c r="K58" s="7">
        <f>(F58-J58)*E58</f>
        <v/>
      </c>
      <c r="L58" s="6">
        <f>IF(COUNTIF($B:$B,B58)&gt;1,"כפולה","")</f>
        <v/>
      </c>
    </row>
    <row r="59">
      <c r="A59" s="5" t="n">
        <v>46046</v>
      </c>
      <c r="B59" s="6" t="n">
        <v>50057</v>
      </c>
      <c r="C59" s="6" t="inlineStr">
        <is>
          <t>C109</t>
        </is>
      </c>
      <c r="D59" s="6" t="inlineStr">
        <is>
          <t>P07</t>
        </is>
      </c>
      <c r="E59" s="6" t="n">
        <v>30</v>
      </c>
      <c r="F59" s="7" t="n">
        <v>95</v>
      </c>
      <c r="G59" s="6">
        <f>IFERROR(INDEX('לקוחות'!$B:$B,MATCH(C59,'לקוחות'!$A:$A,0)),"לא נמצא")</f>
        <v/>
      </c>
      <c r="H59" s="7">
        <f>E59*F59</f>
        <v/>
      </c>
      <c r="I59" s="6">
        <f>MONTH(A59)</f>
        <v/>
      </c>
      <c r="J59" s="7">
        <f>INDEX('מוצרים'!$D:$D,MATCH(D59,'מוצרים'!$A:$A,0))</f>
        <v/>
      </c>
      <c r="K59" s="7">
        <f>(F59-J59)*E59</f>
        <v/>
      </c>
      <c r="L59" s="6">
        <f>IF(COUNTIF($B:$B,B59)&gt;1,"כפולה","")</f>
        <v/>
      </c>
    </row>
    <row r="60">
      <c r="A60" s="5" t="n">
        <v>46047</v>
      </c>
      <c r="B60" s="6" t="n">
        <v>50058</v>
      </c>
      <c r="C60" s="6" t="inlineStr">
        <is>
          <t>C105</t>
        </is>
      </c>
      <c r="D60" s="6" t="inlineStr">
        <is>
          <t>P07</t>
        </is>
      </c>
      <c r="E60" s="6" t="n">
        <v>21</v>
      </c>
      <c r="F60" s="7" t="n">
        <v>95</v>
      </c>
      <c r="G60" s="6">
        <f>IFERROR(INDEX('לקוחות'!$B:$B,MATCH(C60,'לקוחות'!$A:$A,0)),"לא נמצא")</f>
        <v/>
      </c>
      <c r="H60" s="7">
        <f>E60*F60</f>
        <v/>
      </c>
      <c r="I60" s="6">
        <f>MONTH(A60)</f>
        <v/>
      </c>
      <c r="J60" s="7">
        <f>INDEX('מוצרים'!$D:$D,MATCH(D60,'מוצרים'!$A:$A,0))</f>
        <v/>
      </c>
      <c r="K60" s="7">
        <f>(F60-J60)*E60</f>
        <v/>
      </c>
      <c r="L60" s="6">
        <f>IF(COUNTIF($B:$B,B60)&gt;1,"כפולה","")</f>
        <v/>
      </c>
    </row>
    <row r="61">
      <c r="A61" s="5" t="n">
        <v>46048</v>
      </c>
      <c r="B61" s="6" t="n">
        <v>50059</v>
      </c>
      <c r="C61" s="6" t="inlineStr">
        <is>
          <t>C101</t>
        </is>
      </c>
      <c r="D61" s="6" t="inlineStr">
        <is>
          <t>P04</t>
        </is>
      </c>
      <c r="E61" s="6" t="n">
        <v>33</v>
      </c>
      <c r="F61" s="7" t="n">
        <v>32</v>
      </c>
      <c r="G61" s="6">
        <f>IFERROR(INDEX('לקוחות'!$B:$B,MATCH(C61,'לקוחות'!$A:$A,0)),"לא נמצא")</f>
        <v/>
      </c>
      <c r="H61" s="7">
        <f>E61*F61</f>
        <v/>
      </c>
      <c r="I61" s="6">
        <f>MONTH(A61)</f>
        <v/>
      </c>
      <c r="J61" s="7">
        <f>INDEX('מוצרים'!$D:$D,MATCH(D61,'מוצרים'!$A:$A,0))</f>
        <v/>
      </c>
      <c r="K61" s="7">
        <f>(F61-J61)*E61</f>
        <v/>
      </c>
      <c r="L61" s="6">
        <f>IF(COUNTIF($B:$B,B61)&gt;1,"כפולה","")</f>
        <v/>
      </c>
    </row>
    <row r="62">
      <c r="A62" s="5" t="n">
        <v>46048</v>
      </c>
      <c r="B62" s="6" t="n">
        <v>50060</v>
      </c>
      <c r="C62" s="6" t="inlineStr">
        <is>
          <t>C101</t>
        </is>
      </c>
      <c r="D62" s="6" t="inlineStr">
        <is>
          <t>P08</t>
        </is>
      </c>
      <c r="E62" s="6" t="n">
        <v>11</v>
      </c>
      <c r="F62" s="7" t="n">
        <v>199</v>
      </c>
      <c r="G62" s="6">
        <f>IFERROR(INDEX('לקוחות'!$B:$B,MATCH(C62,'לקוחות'!$A:$A,0)),"לא נמצא")</f>
        <v/>
      </c>
      <c r="H62" s="7">
        <f>E62*F62</f>
        <v/>
      </c>
      <c r="I62" s="6">
        <f>MONTH(A62)</f>
        <v/>
      </c>
      <c r="J62" s="7">
        <f>INDEX('מוצרים'!$D:$D,MATCH(D62,'מוצרים'!$A:$A,0))</f>
        <v/>
      </c>
      <c r="K62" s="7">
        <f>(F62-J62)*E62</f>
        <v/>
      </c>
      <c r="L62" s="6">
        <f>IF(COUNTIF($B:$B,B62)&gt;1,"כפולה","")</f>
        <v/>
      </c>
    </row>
    <row r="63">
      <c r="A63" s="5" t="n">
        <v>46048</v>
      </c>
      <c r="B63" s="6" t="n">
        <v>50061</v>
      </c>
      <c r="C63" s="6" t="inlineStr">
        <is>
          <t>C101</t>
        </is>
      </c>
      <c r="D63" s="6" t="inlineStr">
        <is>
          <t>P04</t>
        </is>
      </c>
      <c r="E63" s="6" t="n">
        <v>28</v>
      </c>
      <c r="F63" s="7" t="n">
        <v>32</v>
      </c>
      <c r="G63" s="6">
        <f>IFERROR(INDEX('לקוחות'!$B:$B,MATCH(C63,'לקוחות'!$A:$A,0)),"לא נמצא")</f>
        <v/>
      </c>
      <c r="H63" s="7">
        <f>E63*F63</f>
        <v/>
      </c>
      <c r="I63" s="6">
        <f>MONTH(A63)</f>
        <v/>
      </c>
      <c r="J63" s="7">
        <f>INDEX('מוצרים'!$D:$D,MATCH(D63,'מוצרים'!$A:$A,0))</f>
        <v/>
      </c>
      <c r="K63" s="7">
        <f>(F63-J63)*E63</f>
        <v/>
      </c>
      <c r="L63" s="6">
        <f>IF(COUNTIF($B:$B,B63)&gt;1,"כפולה","")</f>
        <v/>
      </c>
    </row>
    <row r="64">
      <c r="A64" s="5" t="n">
        <v>46048</v>
      </c>
      <c r="B64" s="6" t="n">
        <v>50062</v>
      </c>
      <c r="C64" s="6" t="inlineStr">
        <is>
          <t>C105</t>
        </is>
      </c>
      <c r="D64" s="6" t="inlineStr">
        <is>
          <t>P03</t>
        </is>
      </c>
      <c r="E64" s="6" t="n">
        <v>9</v>
      </c>
      <c r="F64" s="7" t="n">
        <v>12</v>
      </c>
      <c r="G64" s="6">
        <f>IFERROR(INDEX('לקוחות'!$B:$B,MATCH(C64,'לקוחות'!$A:$A,0)),"לא נמצא")</f>
        <v/>
      </c>
      <c r="H64" s="7">
        <f>E64*F64</f>
        <v/>
      </c>
      <c r="I64" s="6">
        <f>MONTH(A64)</f>
        <v/>
      </c>
      <c r="J64" s="7">
        <f>INDEX('מוצרים'!$D:$D,MATCH(D64,'מוצרים'!$A:$A,0))</f>
        <v/>
      </c>
      <c r="K64" s="7">
        <f>(F64-J64)*E64</f>
        <v/>
      </c>
      <c r="L64" s="6">
        <f>IF(COUNTIF($B:$B,B64)&gt;1,"כפולה","")</f>
        <v/>
      </c>
    </row>
    <row r="65">
      <c r="A65" s="5" t="n">
        <v>46050</v>
      </c>
      <c r="B65" s="6" t="n">
        <v>50063</v>
      </c>
      <c r="C65" s="6" t="inlineStr">
        <is>
          <t>C103</t>
        </is>
      </c>
      <c r="D65" s="6" t="inlineStr">
        <is>
          <t>P04</t>
        </is>
      </c>
      <c r="E65" s="6" t="n">
        <v>13</v>
      </c>
      <c r="F65" s="7" t="n">
        <v>32</v>
      </c>
      <c r="G65" s="6">
        <f>IFERROR(INDEX('לקוחות'!$B:$B,MATCH(C65,'לקוחות'!$A:$A,0)),"לא נמצא")</f>
        <v/>
      </c>
      <c r="H65" s="7">
        <f>E65*F65</f>
        <v/>
      </c>
      <c r="I65" s="6">
        <f>MONTH(A65)</f>
        <v/>
      </c>
      <c r="J65" s="7">
        <f>INDEX('מוצרים'!$D:$D,MATCH(D65,'מוצרים'!$A:$A,0))</f>
        <v/>
      </c>
      <c r="K65" s="7">
        <f>(F65-J65)*E65</f>
        <v/>
      </c>
      <c r="L65" s="6">
        <f>IF(COUNTIF($B:$B,B65)&gt;1,"כפולה","")</f>
        <v/>
      </c>
    </row>
    <row r="66">
      <c r="A66" s="5" t="n">
        <v>46050</v>
      </c>
      <c r="B66" s="6" t="n">
        <v>50064</v>
      </c>
      <c r="C66" s="6" t="inlineStr">
        <is>
          <t>C108</t>
        </is>
      </c>
      <c r="D66" s="6" t="inlineStr">
        <is>
          <t>P03</t>
        </is>
      </c>
      <c r="E66" s="6" t="n">
        <v>18</v>
      </c>
      <c r="F66" s="7" t="n">
        <v>13</v>
      </c>
      <c r="G66" s="6">
        <f>IFERROR(INDEX('לקוחות'!$B:$B,MATCH(C66,'לקוחות'!$A:$A,0)),"לא נמצא")</f>
        <v/>
      </c>
      <c r="H66" s="7">
        <f>E66*F66</f>
        <v/>
      </c>
      <c r="I66" s="6">
        <f>MONTH(A66)</f>
        <v/>
      </c>
      <c r="J66" s="7">
        <f>INDEX('מוצרים'!$D:$D,MATCH(D66,'מוצרים'!$A:$A,0))</f>
        <v/>
      </c>
      <c r="K66" s="7">
        <f>(F66-J66)*E66</f>
        <v/>
      </c>
      <c r="L66" s="6">
        <f>IF(COUNTIF($B:$B,B66)&gt;1,"כפולה","")</f>
        <v/>
      </c>
    </row>
    <row r="67">
      <c r="A67" s="5" t="n">
        <v>46050</v>
      </c>
      <c r="B67" s="6" t="n">
        <v>50065</v>
      </c>
      <c r="C67" s="6" t="inlineStr">
        <is>
          <t>C109</t>
        </is>
      </c>
      <c r="D67" s="6" t="inlineStr">
        <is>
          <t>P01</t>
        </is>
      </c>
      <c r="E67" s="6" t="n">
        <v>20</v>
      </c>
      <c r="F67" s="7" t="n">
        <v>85</v>
      </c>
      <c r="G67" s="6">
        <f>IFERROR(INDEX('לקוחות'!$B:$B,MATCH(C67,'לקוחות'!$A:$A,0)),"לא נמצא")</f>
        <v/>
      </c>
      <c r="H67" s="7">
        <f>E67*F67</f>
        <v/>
      </c>
      <c r="I67" s="6">
        <f>MONTH(A67)</f>
        <v/>
      </c>
      <c r="J67" s="7">
        <f>INDEX('מוצרים'!$D:$D,MATCH(D67,'מוצרים'!$A:$A,0))</f>
        <v/>
      </c>
      <c r="K67" s="7">
        <f>(F67-J67)*E67</f>
        <v/>
      </c>
      <c r="L67" s="6">
        <f>IF(COUNTIF($B:$B,B67)&gt;1,"כפולה","")</f>
        <v/>
      </c>
    </row>
    <row r="68">
      <c r="A68" s="5" t="n">
        <v>46050</v>
      </c>
      <c r="B68" s="6" t="n">
        <v>50066</v>
      </c>
      <c r="C68" s="6" t="inlineStr">
        <is>
          <t>C107</t>
        </is>
      </c>
      <c r="D68" s="6" t="inlineStr">
        <is>
          <t>P04</t>
        </is>
      </c>
      <c r="E68" s="6" t="n">
        <v>40</v>
      </c>
      <c r="F68" s="7" t="n">
        <v>29</v>
      </c>
      <c r="G68" s="6">
        <f>IFERROR(INDEX('לקוחות'!$B:$B,MATCH(C68,'לקוחות'!$A:$A,0)),"לא נמצא")</f>
        <v/>
      </c>
      <c r="H68" s="7">
        <f>E68*F68</f>
        <v/>
      </c>
      <c r="I68" s="6">
        <f>MONTH(A68)</f>
        <v/>
      </c>
      <c r="J68" s="7">
        <f>INDEX('מוצרים'!$D:$D,MATCH(D68,'מוצרים'!$A:$A,0))</f>
        <v/>
      </c>
      <c r="K68" s="7">
        <f>(F68-J68)*E68</f>
        <v/>
      </c>
      <c r="L68" s="6">
        <f>IF(COUNTIF($B:$B,B68)&gt;1,"כפולה","")</f>
        <v/>
      </c>
    </row>
    <row r="69">
      <c r="A69" s="5" t="n">
        <v>46050</v>
      </c>
      <c r="B69" s="6" t="n">
        <v>50067</v>
      </c>
      <c r="C69" s="6" t="inlineStr">
        <is>
          <t>C107</t>
        </is>
      </c>
      <c r="D69" s="6" t="inlineStr">
        <is>
          <t>P08</t>
        </is>
      </c>
      <c r="E69" s="6" t="n">
        <v>5</v>
      </c>
      <c r="F69" s="7" t="n">
        <v>199</v>
      </c>
      <c r="G69" s="6">
        <f>IFERROR(INDEX('לקוחות'!$B:$B,MATCH(C69,'לקוחות'!$A:$A,0)),"לא נמצא")</f>
        <v/>
      </c>
      <c r="H69" s="7">
        <f>E69*F69</f>
        <v/>
      </c>
      <c r="I69" s="6">
        <f>MONTH(A69)</f>
        <v/>
      </c>
      <c r="J69" s="7">
        <f>INDEX('מוצרים'!$D:$D,MATCH(D69,'מוצרים'!$A:$A,0))</f>
        <v/>
      </c>
      <c r="K69" s="7">
        <f>(F69-J69)*E69</f>
        <v/>
      </c>
      <c r="L69" s="6">
        <f>IF(COUNTIF($B:$B,B69)&gt;1,"כפולה","")</f>
        <v/>
      </c>
    </row>
    <row r="70">
      <c r="A70" s="5" t="n">
        <v>46050</v>
      </c>
      <c r="B70" s="6" t="n">
        <v>50068</v>
      </c>
      <c r="C70" s="6" t="inlineStr">
        <is>
          <t>C103</t>
        </is>
      </c>
      <c r="D70" s="6" t="inlineStr">
        <is>
          <t>P07</t>
        </is>
      </c>
      <c r="E70" s="6" t="n">
        <v>38</v>
      </c>
      <c r="F70" s="7" t="n">
        <v>95</v>
      </c>
      <c r="G70" s="6">
        <f>IFERROR(INDEX('לקוחות'!$B:$B,MATCH(C70,'לקוחות'!$A:$A,0)),"לא נמצא")</f>
        <v/>
      </c>
      <c r="H70" s="7">
        <f>E70*F70</f>
        <v/>
      </c>
      <c r="I70" s="6">
        <f>MONTH(A70)</f>
        <v/>
      </c>
      <c r="J70" s="7">
        <f>INDEX('מוצרים'!$D:$D,MATCH(D70,'מוצרים'!$A:$A,0))</f>
        <v/>
      </c>
      <c r="K70" s="7">
        <f>(F70-J70)*E70</f>
        <v/>
      </c>
      <c r="L70" s="6">
        <f>IF(COUNTIF($B:$B,B70)&gt;1,"כפולה","")</f>
        <v/>
      </c>
    </row>
    <row r="71">
      <c r="A71" s="5" t="n">
        <v>46050</v>
      </c>
      <c r="B71" s="6" t="n">
        <v>50069</v>
      </c>
      <c r="C71" s="6" t="inlineStr">
        <is>
          <t>C106</t>
        </is>
      </c>
      <c r="D71" s="6" t="inlineStr">
        <is>
          <t>P03</t>
        </is>
      </c>
      <c r="E71" s="6" t="n">
        <v>17</v>
      </c>
      <c r="F71" s="7" t="n">
        <v>13</v>
      </c>
      <c r="G71" s="6">
        <f>IFERROR(INDEX('לקוחות'!$B:$B,MATCH(C71,'לקוחות'!$A:$A,0)),"לא נמצא")</f>
        <v/>
      </c>
      <c r="H71" s="7">
        <f>E71*F71</f>
        <v/>
      </c>
      <c r="I71" s="6">
        <f>MONTH(A71)</f>
        <v/>
      </c>
      <c r="J71" s="7">
        <f>INDEX('מוצרים'!$D:$D,MATCH(D71,'מוצרים'!$A:$A,0))</f>
        <v/>
      </c>
      <c r="K71" s="7">
        <f>(F71-J71)*E71</f>
        <v/>
      </c>
      <c r="L71" s="6">
        <f>IF(COUNTIF($B:$B,B71)&gt;1,"כפולה","")</f>
        <v/>
      </c>
    </row>
    <row r="72">
      <c r="A72" s="5" t="n">
        <v>46051</v>
      </c>
      <c r="B72" s="6" t="n">
        <v>50070</v>
      </c>
      <c r="C72" s="6" t="inlineStr">
        <is>
          <t>C102</t>
        </is>
      </c>
      <c r="D72" s="6" t="inlineStr">
        <is>
          <t>P03</t>
        </is>
      </c>
      <c r="E72" s="6" t="n">
        <v>28</v>
      </c>
      <c r="F72" s="7" t="n">
        <v>13</v>
      </c>
      <c r="G72" s="6">
        <f>IFERROR(INDEX('לקוחות'!$B:$B,MATCH(C72,'לקוחות'!$A:$A,0)),"לא נמצא")</f>
        <v/>
      </c>
      <c r="H72" s="7">
        <f>E72*F72</f>
        <v/>
      </c>
      <c r="I72" s="6">
        <f>MONTH(A72)</f>
        <v/>
      </c>
      <c r="J72" s="7">
        <f>INDEX('מוצרים'!$D:$D,MATCH(D72,'מוצרים'!$A:$A,0))</f>
        <v/>
      </c>
      <c r="K72" s="7">
        <f>(F72-J72)*E72</f>
        <v/>
      </c>
      <c r="L72" s="6">
        <f>IF(COUNTIF($B:$B,B72)&gt;1,"כפולה","")</f>
        <v/>
      </c>
    </row>
    <row r="73">
      <c r="A73" s="5" t="n">
        <v>46052</v>
      </c>
      <c r="B73" s="6" t="n">
        <v>50071</v>
      </c>
      <c r="C73" s="6" t="inlineStr">
        <is>
          <t>C107</t>
        </is>
      </c>
      <c r="D73" s="6" t="inlineStr">
        <is>
          <t>P02</t>
        </is>
      </c>
      <c r="E73" s="6" t="n">
        <v>10</v>
      </c>
      <c r="F73" s="7" t="n">
        <v>110</v>
      </c>
      <c r="G73" s="6">
        <f>IFERROR(INDEX('לקוחות'!$B:$B,MATCH(C73,'לקוחות'!$A:$A,0)),"לא נמצא")</f>
        <v/>
      </c>
      <c r="H73" s="7">
        <f>E73*F73</f>
        <v/>
      </c>
      <c r="I73" s="6">
        <f>MONTH(A73)</f>
        <v/>
      </c>
      <c r="J73" s="7">
        <f>INDEX('מוצרים'!$D:$D,MATCH(D73,'מוצרים'!$A:$A,0))</f>
        <v/>
      </c>
      <c r="K73" s="7">
        <f>(F73-J73)*E73</f>
        <v/>
      </c>
      <c r="L73" s="6">
        <f>IF(COUNTIF($B:$B,B73)&gt;1,"כפולה","")</f>
        <v/>
      </c>
    </row>
    <row r="74">
      <c r="A74" s="5" t="n">
        <v>46052</v>
      </c>
      <c r="B74" s="6" t="n">
        <v>50072</v>
      </c>
      <c r="C74" s="6" t="inlineStr">
        <is>
          <t>C100</t>
        </is>
      </c>
      <c r="D74" s="6" t="inlineStr">
        <is>
          <t>P03</t>
        </is>
      </c>
      <c r="E74" s="6" t="n">
        <v>32</v>
      </c>
      <c r="F74" s="7" t="n">
        <v>13</v>
      </c>
      <c r="G74" s="6">
        <f>IFERROR(INDEX('לקוחות'!$B:$B,MATCH(C74,'לקוחות'!$A:$A,0)),"לא נמצא")</f>
        <v/>
      </c>
      <c r="H74" s="7">
        <f>E74*F74</f>
        <v/>
      </c>
      <c r="I74" s="6">
        <f>MONTH(A74)</f>
        <v/>
      </c>
      <c r="J74" s="7">
        <f>INDEX('מוצרים'!$D:$D,MATCH(D74,'מוצרים'!$A:$A,0))</f>
        <v/>
      </c>
      <c r="K74" s="7">
        <f>(F74-J74)*E74</f>
        <v/>
      </c>
      <c r="L74" s="6">
        <f>IF(COUNTIF($B:$B,B74)&gt;1,"כפולה","")</f>
        <v/>
      </c>
    </row>
    <row r="75">
      <c r="A75" s="5" t="n">
        <v>46054</v>
      </c>
      <c r="B75" s="6" t="n">
        <v>50073</v>
      </c>
      <c r="C75" s="6" t="inlineStr">
        <is>
          <t>C107</t>
        </is>
      </c>
      <c r="D75" s="6" t="inlineStr">
        <is>
          <t>P03</t>
        </is>
      </c>
      <c r="E75" s="6" t="n">
        <v>30</v>
      </c>
      <c r="F75" s="7" t="n">
        <v>13</v>
      </c>
      <c r="G75" s="6">
        <f>IFERROR(INDEX('לקוחות'!$B:$B,MATCH(C75,'לקוחות'!$A:$A,0)),"לא נמצא")</f>
        <v/>
      </c>
      <c r="H75" s="7">
        <f>E75*F75</f>
        <v/>
      </c>
      <c r="I75" s="6">
        <f>MONTH(A75)</f>
        <v/>
      </c>
      <c r="J75" s="7">
        <f>INDEX('מוצרים'!$D:$D,MATCH(D75,'מוצרים'!$A:$A,0))</f>
        <v/>
      </c>
      <c r="K75" s="7">
        <f>(F75-J75)*E75</f>
        <v/>
      </c>
      <c r="L75" s="6">
        <f>IF(COUNTIF($B:$B,B75)&gt;1,"כפולה","")</f>
        <v/>
      </c>
    </row>
    <row r="76">
      <c r="A76" s="5" t="n">
        <v>46054</v>
      </c>
      <c r="B76" s="6" t="n">
        <v>50074</v>
      </c>
      <c r="C76" s="6" t="inlineStr">
        <is>
          <t>C107</t>
        </is>
      </c>
      <c r="D76" s="6" t="inlineStr">
        <is>
          <t>P02</t>
        </is>
      </c>
      <c r="E76" s="6" t="n">
        <v>14</v>
      </c>
      <c r="F76" s="7" t="n">
        <v>110</v>
      </c>
      <c r="G76" s="6">
        <f>IFERROR(INDEX('לקוחות'!$B:$B,MATCH(C76,'לקוחות'!$A:$A,0)),"לא נמצא")</f>
        <v/>
      </c>
      <c r="H76" s="7">
        <f>E76*F76</f>
        <v/>
      </c>
      <c r="I76" s="6">
        <f>MONTH(A76)</f>
        <v/>
      </c>
      <c r="J76" s="7">
        <f>INDEX('מוצרים'!$D:$D,MATCH(D76,'מוצרים'!$A:$A,0))</f>
        <v/>
      </c>
      <c r="K76" s="7">
        <f>(F76-J76)*E76</f>
        <v/>
      </c>
      <c r="L76" s="6">
        <f>IF(COUNTIF($B:$B,B76)&gt;1,"כפולה","")</f>
        <v/>
      </c>
    </row>
    <row r="77">
      <c r="A77" s="5" t="n">
        <v>46054</v>
      </c>
      <c r="B77" s="6" t="n">
        <v>50075</v>
      </c>
      <c r="C77" s="6" t="inlineStr">
        <is>
          <t>C104</t>
        </is>
      </c>
      <c r="D77" s="6" t="inlineStr">
        <is>
          <t>P08</t>
        </is>
      </c>
      <c r="E77" s="6" t="n">
        <v>16</v>
      </c>
      <c r="F77" s="7" t="n">
        <v>199</v>
      </c>
      <c r="G77" s="6">
        <f>IFERROR(INDEX('לקוחות'!$B:$B,MATCH(C77,'לקוחות'!$A:$A,0)),"לא נמצא")</f>
        <v/>
      </c>
      <c r="H77" s="7">
        <f>E77*F77</f>
        <v/>
      </c>
      <c r="I77" s="6">
        <f>MONTH(A77)</f>
        <v/>
      </c>
      <c r="J77" s="7">
        <f>INDEX('מוצרים'!$D:$D,MATCH(D77,'מוצרים'!$A:$A,0))</f>
        <v/>
      </c>
      <c r="K77" s="7">
        <f>(F77-J77)*E77</f>
        <v/>
      </c>
      <c r="L77" s="6">
        <f>IF(COUNTIF($B:$B,B77)&gt;1,"כפולה","")</f>
        <v/>
      </c>
    </row>
    <row r="78">
      <c r="A78" s="5" t="n">
        <v>46055</v>
      </c>
      <c r="B78" s="6" t="n">
        <v>50076</v>
      </c>
      <c r="C78" s="6" t="inlineStr">
        <is>
          <t>C108</t>
        </is>
      </c>
      <c r="D78" s="6" t="inlineStr">
        <is>
          <t>P06</t>
        </is>
      </c>
      <c r="E78" s="6" t="n">
        <v>7</v>
      </c>
      <c r="F78" s="7" t="n">
        <v>70</v>
      </c>
      <c r="G78" s="6">
        <f>IFERROR(INDEX('לקוחות'!$B:$B,MATCH(C78,'לקוחות'!$A:$A,0)),"לא נמצא")</f>
        <v/>
      </c>
      <c r="H78" s="7">
        <f>E78*F78</f>
        <v/>
      </c>
      <c r="I78" s="6">
        <f>MONTH(A78)</f>
        <v/>
      </c>
      <c r="J78" s="7">
        <f>INDEX('מוצרים'!$D:$D,MATCH(D78,'מוצרים'!$A:$A,0))</f>
        <v/>
      </c>
      <c r="K78" s="7">
        <f>(F78-J78)*E78</f>
        <v/>
      </c>
      <c r="L78" s="6">
        <f>IF(COUNTIF($B:$B,B78)&gt;1,"כפולה","")</f>
        <v/>
      </c>
    </row>
    <row r="79">
      <c r="A79" s="5" t="n">
        <v>46055</v>
      </c>
      <c r="B79" s="6" t="n">
        <v>50077</v>
      </c>
      <c r="C79" s="6" t="inlineStr">
        <is>
          <t>C109</t>
        </is>
      </c>
      <c r="D79" s="6" t="inlineStr">
        <is>
          <t>P04</t>
        </is>
      </c>
      <c r="E79" s="6" t="n">
        <v>5</v>
      </c>
      <c r="F79" s="7" t="n">
        <v>32</v>
      </c>
      <c r="G79" s="6">
        <f>IFERROR(INDEX('לקוחות'!$B:$B,MATCH(C79,'לקוחות'!$A:$A,0)),"לא נמצא")</f>
        <v/>
      </c>
      <c r="H79" s="7">
        <f>E79*F79</f>
        <v/>
      </c>
      <c r="I79" s="6">
        <f>MONTH(A79)</f>
        <v/>
      </c>
      <c r="J79" s="7">
        <f>INDEX('מוצרים'!$D:$D,MATCH(D79,'מוצרים'!$A:$A,0))</f>
        <v/>
      </c>
      <c r="K79" s="7">
        <f>(F79-J79)*E79</f>
        <v/>
      </c>
      <c r="L79" s="6">
        <f>IF(COUNTIF($B:$B,B79)&gt;1,"כפולה","")</f>
        <v/>
      </c>
    </row>
    <row r="80">
      <c r="A80" s="5" t="n">
        <v>46057</v>
      </c>
      <c r="B80" s="6" t="n">
        <v>50078</v>
      </c>
      <c r="C80" s="6" t="inlineStr">
        <is>
          <t>C101</t>
        </is>
      </c>
      <c r="D80" s="6" t="inlineStr">
        <is>
          <t>P08</t>
        </is>
      </c>
      <c r="E80" s="6" t="n">
        <v>12</v>
      </c>
      <c r="F80" s="7" t="n">
        <v>199</v>
      </c>
      <c r="G80" s="6">
        <f>IFERROR(INDEX('לקוחות'!$B:$B,MATCH(C80,'לקוחות'!$A:$A,0)),"לא נמצא")</f>
        <v/>
      </c>
      <c r="H80" s="7">
        <f>E80*F80</f>
        <v/>
      </c>
      <c r="I80" s="6">
        <f>MONTH(A80)</f>
        <v/>
      </c>
      <c r="J80" s="7">
        <f>INDEX('מוצרים'!$D:$D,MATCH(D80,'מוצרים'!$A:$A,0))</f>
        <v/>
      </c>
      <c r="K80" s="7">
        <f>(F80-J80)*E80</f>
        <v/>
      </c>
      <c r="L80" s="6">
        <f>IF(COUNTIF($B:$B,B80)&gt;1,"כפולה","")</f>
        <v/>
      </c>
    </row>
    <row r="81">
      <c r="A81" s="5" t="n">
        <v>46058</v>
      </c>
      <c r="B81" s="6" t="n">
        <v>50079</v>
      </c>
      <c r="C81" s="6" t="inlineStr">
        <is>
          <t>C101</t>
        </is>
      </c>
      <c r="D81" s="6" t="inlineStr">
        <is>
          <t>P02</t>
        </is>
      </c>
      <c r="E81" s="6" t="n">
        <v>38</v>
      </c>
      <c r="F81" s="7" t="n">
        <v>110</v>
      </c>
      <c r="G81" s="6">
        <f>IFERROR(INDEX('לקוחות'!$B:$B,MATCH(C81,'לקוחות'!$A:$A,0)),"לא נמצא")</f>
        <v/>
      </c>
      <c r="H81" s="7">
        <f>E81*F81</f>
        <v/>
      </c>
      <c r="I81" s="6">
        <f>MONTH(A81)</f>
        <v/>
      </c>
      <c r="J81" s="7">
        <f>INDEX('מוצרים'!$D:$D,MATCH(D81,'מוצרים'!$A:$A,0))</f>
        <v/>
      </c>
      <c r="K81" s="7">
        <f>(F81-J81)*E81</f>
        <v/>
      </c>
      <c r="L81" s="6">
        <f>IF(COUNTIF($B:$B,B81)&gt;1,"כפולה","")</f>
        <v/>
      </c>
    </row>
    <row r="82">
      <c r="A82" s="5" t="n">
        <v>46058</v>
      </c>
      <c r="B82" s="6" t="n">
        <v>50080</v>
      </c>
      <c r="C82" s="6" t="inlineStr">
        <is>
          <t>C108</t>
        </is>
      </c>
      <c r="D82" s="6" t="inlineStr">
        <is>
          <t>P08</t>
        </is>
      </c>
      <c r="E82" s="6" t="n">
        <v>6</v>
      </c>
      <c r="F82" s="7" t="n">
        <v>199</v>
      </c>
      <c r="G82" s="6">
        <f>IFERROR(INDEX('לקוחות'!$B:$B,MATCH(C82,'לקוחות'!$A:$A,0)),"לא נמצא")</f>
        <v/>
      </c>
      <c r="H82" s="7">
        <f>E82*F82</f>
        <v/>
      </c>
      <c r="I82" s="6">
        <f>MONTH(A82)</f>
        <v/>
      </c>
      <c r="J82" s="7">
        <f>INDEX('מוצרים'!$D:$D,MATCH(D82,'מוצרים'!$A:$A,0))</f>
        <v/>
      </c>
      <c r="K82" s="7">
        <f>(F82-J82)*E82</f>
        <v/>
      </c>
      <c r="L82" s="6">
        <f>IF(COUNTIF($B:$B,B82)&gt;1,"כפולה","")</f>
        <v/>
      </c>
    </row>
    <row r="83">
      <c r="A83" s="5" t="n">
        <v>46058</v>
      </c>
      <c r="B83" s="6" t="n">
        <v>50081</v>
      </c>
      <c r="C83" s="6" t="inlineStr">
        <is>
          <t>C106</t>
        </is>
      </c>
      <c r="D83" s="6" t="inlineStr">
        <is>
          <t>P03</t>
        </is>
      </c>
      <c r="E83" s="6" t="n">
        <v>18</v>
      </c>
      <c r="F83" s="7" t="n">
        <v>13</v>
      </c>
      <c r="G83" s="6">
        <f>IFERROR(INDEX('לקוחות'!$B:$B,MATCH(C83,'לקוחות'!$A:$A,0)),"לא נמצא")</f>
        <v/>
      </c>
      <c r="H83" s="7">
        <f>E83*F83</f>
        <v/>
      </c>
      <c r="I83" s="6">
        <f>MONTH(A83)</f>
        <v/>
      </c>
      <c r="J83" s="7">
        <f>INDEX('מוצרים'!$D:$D,MATCH(D83,'מוצרים'!$A:$A,0))</f>
        <v/>
      </c>
      <c r="K83" s="7">
        <f>(F83-J83)*E83</f>
        <v/>
      </c>
      <c r="L83" s="6">
        <f>IF(COUNTIF($B:$B,B83)&gt;1,"כפולה","")</f>
        <v/>
      </c>
    </row>
    <row r="84">
      <c r="A84" s="5" t="n">
        <v>46059</v>
      </c>
      <c r="B84" s="6" t="n">
        <v>50082</v>
      </c>
      <c r="C84" s="6" t="inlineStr">
        <is>
          <t>C103</t>
        </is>
      </c>
      <c r="D84" s="6" t="inlineStr">
        <is>
          <t>P08</t>
        </is>
      </c>
      <c r="E84" s="6" t="n">
        <v>17</v>
      </c>
      <c r="F84" s="7" t="n">
        <v>199</v>
      </c>
      <c r="G84" s="6">
        <f>IFERROR(INDEX('לקוחות'!$B:$B,MATCH(C84,'לקוחות'!$A:$A,0)),"לא נמצא")</f>
        <v/>
      </c>
      <c r="H84" s="7">
        <f>E84*F84</f>
        <v/>
      </c>
      <c r="I84" s="6">
        <f>MONTH(A84)</f>
        <v/>
      </c>
      <c r="J84" s="7">
        <f>INDEX('מוצרים'!$D:$D,MATCH(D84,'מוצרים'!$A:$A,0))</f>
        <v/>
      </c>
      <c r="K84" s="7">
        <f>(F84-J84)*E84</f>
        <v/>
      </c>
      <c r="L84" s="6">
        <f>IF(COUNTIF($B:$B,B84)&gt;1,"כפולה","")</f>
        <v/>
      </c>
    </row>
    <row r="85">
      <c r="A85" s="5" t="n">
        <v>46059</v>
      </c>
      <c r="B85" s="6" t="n">
        <v>50083</v>
      </c>
      <c r="C85" s="6" t="inlineStr">
        <is>
          <t>C109</t>
        </is>
      </c>
      <c r="D85" s="6" t="inlineStr">
        <is>
          <t>P07</t>
        </is>
      </c>
      <c r="E85" s="6" t="n">
        <v>5</v>
      </c>
      <c r="F85" s="7" t="n">
        <v>95</v>
      </c>
      <c r="G85" s="6">
        <f>IFERROR(INDEX('לקוחות'!$B:$B,MATCH(C85,'לקוחות'!$A:$A,0)),"לא נמצא")</f>
        <v/>
      </c>
      <c r="H85" s="7">
        <f>E85*F85</f>
        <v/>
      </c>
      <c r="I85" s="6">
        <f>MONTH(A85)</f>
        <v/>
      </c>
      <c r="J85" s="7">
        <f>INDEX('מוצרים'!$D:$D,MATCH(D85,'מוצרים'!$A:$A,0))</f>
        <v/>
      </c>
      <c r="K85" s="7">
        <f>(F85-J85)*E85</f>
        <v/>
      </c>
      <c r="L85" s="6">
        <f>IF(COUNTIF($B:$B,B85)&gt;1,"כפולה","")</f>
        <v/>
      </c>
    </row>
    <row r="86">
      <c r="A86" s="5" t="n">
        <v>46059</v>
      </c>
      <c r="B86" s="6" t="n">
        <v>50084</v>
      </c>
      <c r="C86" s="6" t="inlineStr">
        <is>
          <t>C104</t>
        </is>
      </c>
      <c r="D86" s="6" t="inlineStr">
        <is>
          <t>P07</t>
        </is>
      </c>
      <c r="E86" s="6" t="n">
        <v>1</v>
      </c>
      <c r="F86" s="7" t="n">
        <v>95</v>
      </c>
      <c r="G86" s="6">
        <f>IFERROR(INDEX('לקוחות'!$B:$B,MATCH(C86,'לקוחות'!$A:$A,0)),"לא נמצא")</f>
        <v/>
      </c>
      <c r="H86" s="7">
        <f>E86*F86</f>
        <v/>
      </c>
      <c r="I86" s="6">
        <f>MONTH(A86)</f>
        <v/>
      </c>
      <c r="J86" s="7">
        <f>INDEX('מוצרים'!$D:$D,MATCH(D86,'מוצרים'!$A:$A,0))</f>
        <v/>
      </c>
      <c r="K86" s="7">
        <f>(F86-J86)*E86</f>
        <v/>
      </c>
      <c r="L86" s="6">
        <f>IF(COUNTIF($B:$B,B86)&gt;1,"כפולה","")</f>
        <v/>
      </c>
    </row>
    <row r="87">
      <c r="A87" s="5" t="n">
        <v>46060</v>
      </c>
      <c r="B87" s="6" t="n">
        <v>50085</v>
      </c>
      <c r="C87" s="6" t="inlineStr">
        <is>
          <t>C106</t>
        </is>
      </c>
      <c r="D87" s="6" t="inlineStr">
        <is>
          <t>P03</t>
        </is>
      </c>
      <c r="E87" s="6" t="n">
        <v>3</v>
      </c>
      <c r="F87" s="7" t="n">
        <v>13</v>
      </c>
      <c r="G87" s="6">
        <f>IFERROR(INDEX('לקוחות'!$B:$B,MATCH(C87,'לקוחות'!$A:$A,0)),"לא נמצא")</f>
        <v/>
      </c>
      <c r="H87" s="7">
        <f>E87*F87</f>
        <v/>
      </c>
      <c r="I87" s="6">
        <f>MONTH(A87)</f>
        <v/>
      </c>
      <c r="J87" s="7">
        <f>INDEX('מוצרים'!$D:$D,MATCH(D87,'מוצרים'!$A:$A,0))</f>
        <v/>
      </c>
      <c r="K87" s="7">
        <f>(F87-J87)*E87</f>
        <v/>
      </c>
      <c r="L87" s="6">
        <f>IF(COUNTIF($B:$B,B87)&gt;1,"כפולה","")</f>
        <v/>
      </c>
    </row>
    <row r="88">
      <c r="A88" s="5" t="n">
        <v>46060</v>
      </c>
      <c r="B88" s="6" t="n">
        <v>50086</v>
      </c>
      <c r="C88" s="6" t="inlineStr">
        <is>
          <t>C109</t>
        </is>
      </c>
      <c r="D88" s="6" t="inlineStr">
        <is>
          <t>P01</t>
        </is>
      </c>
      <c r="E88" s="6" t="n">
        <v>18</v>
      </c>
      <c r="F88" s="7" t="n">
        <v>85</v>
      </c>
      <c r="G88" s="6">
        <f>IFERROR(INDEX('לקוחות'!$B:$B,MATCH(C88,'לקוחות'!$A:$A,0)),"לא נמצא")</f>
        <v/>
      </c>
      <c r="H88" s="7">
        <f>E88*F88</f>
        <v/>
      </c>
      <c r="I88" s="6">
        <f>MONTH(A88)</f>
        <v/>
      </c>
      <c r="J88" s="7">
        <f>INDEX('מוצרים'!$D:$D,MATCH(D88,'מוצרים'!$A:$A,0))</f>
        <v/>
      </c>
      <c r="K88" s="7">
        <f>(F88-J88)*E88</f>
        <v/>
      </c>
      <c r="L88" s="6">
        <f>IF(COUNTIF($B:$B,B88)&gt;1,"כפולה","")</f>
        <v/>
      </c>
    </row>
    <row r="89">
      <c r="A89" s="5" t="n">
        <v>46060</v>
      </c>
      <c r="B89" s="6" t="n">
        <v>50087</v>
      </c>
      <c r="C89" s="6" t="inlineStr">
        <is>
          <t>C102</t>
        </is>
      </c>
      <c r="D89" s="6" t="inlineStr">
        <is>
          <t>P05</t>
        </is>
      </c>
      <c r="E89" s="6" t="n">
        <v>12</v>
      </c>
      <c r="F89" s="7" t="n">
        <v>150</v>
      </c>
      <c r="G89" s="6">
        <f>IFERROR(INDEX('לקוחות'!$B:$B,MATCH(C89,'לקוחות'!$A:$A,0)),"לא נמצא")</f>
        <v/>
      </c>
      <c r="H89" s="7">
        <f>E89*F89</f>
        <v/>
      </c>
      <c r="I89" s="6">
        <f>MONTH(A89)</f>
        <v/>
      </c>
      <c r="J89" s="7">
        <f>INDEX('מוצרים'!$D:$D,MATCH(D89,'מוצרים'!$A:$A,0))</f>
        <v/>
      </c>
      <c r="K89" s="7">
        <f>(F89-J89)*E89</f>
        <v/>
      </c>
      <c r="L89" s="6">
        <f>IF(COUNTIF($B:$B,B89)&gt;1,"כפולה","")</f>
        <v/>
      </c>
    </row>
    <row r="90">
      <c r="A90" s="5" t="n">
        <v>46062</v>
      </c>
      <c r="B90" s="6" t="n">
        <v>50088</v>
      </c>
      <c r="C90" s="6" t="inlineStr">
        <is>
          <t>C105</t>
        </is>
      </c>
      <c r="D90" s="6" t="inlineStr">
        <is>
          <t>P03</t>
        </is>
      </c>
      <c r="E90" s="6" t="n">
        <v>35</v>
      </c>
      <c r="F90" s="7" t="n">
        <v>13</v>
      </c>
      <c r="G90" s="6">
        <f>IFERROR(INDEX('לקוחות'!$B:$B,MATCH(C90,'לקוחות'!$A:$A,0)),"לא נמצא")</f>
        <v/>
      </c>
      <c r="H90" s="7">
        <f>E90*F90</f>
        <v/>
      </c>
      <c r="I90" s="6">
        <f>MONTH(A90)</f>
        <v/>
      </c>
      <c r="J90" s="7">
        <f>INDEX('מוצרים'!$D:$D,MATCH(D90,'מוצרים'!$A:$A,0))</f>
        <v/>
      </c>
      <c r="K90" s="7">
        <f>(F90-J90)*E90</f>
        <v/>
      </c>
      <c r="L90" s="6">
        <f>IF(COUNTIF($B:$B,B90)&gt;1,"כפולה","")</f>
        <v/>
      </c>
    </row>
    <row r="91">
      <c r="A91" s="5" t="n">
        <v>46062</v>
      </c>
      <c r="B91" s="6" t="n">
        <v>50089</v>
      </c>
      <c r="C91" s="6" t="inlineStr">
        <is>
          <t>C106</t>
        </is>
      </c>
      <c r="D91" s="6" t="inlineStr">
        <is>
          <t>P02</t>
        </is>
      </c>
      <c r="E91" s="6" t="n">
        <v>32</v>
      </c>
      <c r="F91" s="7" t="n">
        <v>110</v>
      </c>
      <c r="G91" s="6">
        <f>IFERROR(INDEX('לקוחות'!$B:$B,MATCH(C91,'לקוחות'!$A:$A,0)),"לא נמצא")</f>
        <v/>
      </c>
      <c r="H91" s="7">
        <f>E91*F91</f>
        <v/>
      </c>
      <c r="I91" s="6">
        <f>MONTH(A91)</f>
        <v/>
      </c>
      <c r="J91" s="7">
        <f>INDEX('מוצרים'!$D:$D,MATCH(D91,'מוצרים'!$A:$A,0))</f>
        <v/>
      </c>
      <c r="K91" s="7">
        <f>(F91-J91)*E91</f>
        <v/>
      </c>
      <c r="L91" s="6">
        <f>IF(COUNTIF($B:$B,B91)&gt;1,"כפולה","")</f>
        <v/>
      </c>
    </row>
    <row r="92">
      <c r="A92" s="5" t="n">
        <v>46062</v>
      </c>
      <c r="B92" s="6" t="n">
        <v>50090</v>
      </c>
      <c r="C92" s="6" t="inlineStr">
        <is>
          <t>C101</t>
        </is>
      </c>
      <c r="D92" s="6" t="inlineStr">
        <is>
          <t>P05</t>
        </is>
      </c>
      <c r="E92" s="6" t="n">
        <v>7</v>
      </c>
      <c r="F92" s="7" t="n">
        <v>150</v>
      </c>
      <c r="G92" s="6">
        <f>IFERROR(INDEX('לקוחות'!$B:$B,MATCH(C92,'לקוחות'!$A:$A,0)),"לא נמצא")</f>
        <v/>
      </c>
      <c r="H92" s="7">
        <f>E92*F92</f>
        <v/>
      </c>
      <c r="I92" s="6">
        <f>MONTH(A92)</f>
        <v/>
      </c>
      <c r="J92" s="7">
        <f>INDEX('מוצרים'!$D:$D,MATCH(D92,'מוצרים'!$A:$A,0))</f>
        <v/>
      </c>
      <c r="K92" s="7">
        <f>(F92-J92)*E92</f>
        <v/>
      </c>
      <c r="L92" s="6">
        <f>IF(COUNTIF($B:$B,B92)&gt;1,"כפולה","")</f>
        <v/>
      </c>
    </row>
    <row r="93">
      <c r="A93" s="5" t="n">
        <v>46063</v>
      </c>
      <c r="B93" s="6" t="n">
        <v>50091</v>
      </c>
      <c r="C93" s="6" t="inlineStr">
        <is>
          <t>C106</t>
        </is>
      </c>
      <c r="D93" s="6" t="inlineStr">
        <is>
          <t>P06</t>
        </is>
      </c>
      <c r="E93" s="6" t="n">
        <v>18</v>
      </c>
      <c r="F93" s="7" t="n">
        <v>70</v>
      </c>
      <c r="G93" s="6">
        <f>IFERROR(INDEX('לקוחות'!$B:$B,MATCH(C93,'לקוחות'!$A:$A,0)),"לא נמצא")</f>
        <v/>
      </c>
      <c r="H93" s="7">
        <f>E93*F93</f>
        <v/>
      </c>
      <c r="I93" s="6">
        <f>MONTH(A93)</f>
        <v/>
      </c>
      <c r="J93" s="7">
        <f>INDEX('מוצרים'!$D:$D,MATCH(D93,'מוצרים'!$A:$A,0))</f>
        <v/>
      </c>
      <c r="K93" s="7">
        <f>(F93-J93)*E93</f>
        <v/>
      </c>
      <c r="L93" s="6">
        <f>IF(COUNTIF($B:$B,B93)&gt;1,"כפולה","")</f>
        <v/>
      </c>
    </row>
    <row r="94">
      <c r="A94" s="5" t="n">
        <v>46063</v>
      </c>
      <c r="B94" s="6" t="n">
        <v>50092</v>
      </c>
      <c r="C94" s="6" t="inlineStr">
        <is>
          <t>C101</t>
        </is>
      </c>
      <c r="D94" s="6" t="inlineStr">
        <is>
          <t>P08</t>
        </is>
      </c>
      <c r="E94" s="6" t="n">
        <v>23</v>
      </c>
      <c r="F94" s="7" t="n">
        <v>199</v>
      </c>
      <c r="G94" s="6">
        <f>IFERROR(INDEX('לקוחות'!$B:$B,MATCH(C94,'לקוחות'!$A:$A,0)),"לא נמצא")</f>
        <v/>
      </c>
      <c r="H94" s="7">
        <f>E94*F94</f>
        <v/>
      </c>
      <c r="I94" s="6">
        <f>MONTH(A94)</f>
        <v/>
      </c>
      <c r="J94" s="7">
        <f>INDEX('מוצרים'!$D:$D,MATCH(D94,'מוצרים'!$A:$A,0))</f>
        <v/>
      </c>
      <c r="K94" s="7">
        <f>(F94-J94)*E94</f>
        <v/>
      </c>
      <c r="L94" s="6">
        <f>IF(COUNTIF($B:$B,B94)&gt;1,"כפולה","")</f>
        <v/>
      </c>
    </row>
    <row r="95">
      <c r="A95" s="5" t="n">
        <v>46063</v>
      </c>
      <c r="B95" s="6" t="n">
        <v>50093</v>
      </c>
      <c r="C95" s="6" t="inlineStr">
        <is>
          <t>C105</t>
        </is>
      </c>
      <c r="D95" s="6" t="inlineStr">
        <is>
          <t>P06</t>
        </is>
      </c>
      <c r="E95" s="6" t="n">
        <v>13</v>
      </c>
      <c r="F95" s="7" t="n">
        <v>70</v>
      </c>
      <c r="G95" s="6">
        <f>IFERROR(INDEX('לקוחות'!$B:$B,MATCH(C95,'לקוחות'!$A:$A,0)),"לא נמצא")</f>
        <v/>
      </c>
      <c r="H95" s="7">
        <f>E95*F95</f>
        <v/>
      </c>
      <c r="I95" s="6">
        <f>MONTH(A95)</f>
        <v/>
      </c>
      <c r="J95" s="7">
        <f>INDEX('מוצרים'!$D:$D,MATCH(D95,'מוצרים'!$A:$A,0))</f>
        <v/>
      </c>
      <c r="K95" s="7">
        <f>(F95-J95)*E95</f>
        <v/>
      </c>
      <c r="L95" s="6">
        <f>IF(COUNTIF($B:$B,B95)&gt;1,"כפולה","")</f>
        <v/>
      </c>
    </row>
    <row r="96">
      <c r="A96" s="5" t="n">
        <v>46064</v>
      </c>
      <c r="B96" s="6" t="n">
        <v>50094</v>
      </c>
      <c r="C96" s="6" t="inlineStr">
        <is>
          <t>C107</t>
        </is>
      </c>
      <c r="D96" s="6" t="inlineStr">
        <is>
          <t>P07</t>
        </is>
      </c>
      <c r="E96" s="6" t="n">
        <v>18</v>
      </c>
      <c r="F96" s="7" t="n">
        <v>95</v>
      </c>
      <c r="G96" s="6">
        <f>IFERROR(INDEX('לקוחות'!$B:$B,MATCH(C96,'לקוחות'!$A:$A,0)),"לא נמצא")</f>
        <v/>
      </c>
      <c r="H96" s="7">
        <f>E96*F96</f>
        <v/>
      </c>
      <c r="I96" s="6">
        <f>MONTH(A96)</f>
        <v/>
      </c>
      <c r="J96" s="7">
        <f>INDEX('מוצרים'!$D:$D,MATCH(D96,'מוצרים'!$A:$A,0))</f>
        <v/>
      </c>
      <c r="K96" s="7">
        <f>(F96-J96)*E96</f>
        <v/>
      </c>
      <c r="L96" s="6">
        <f>IF(COUNTIF($B:$B,B96)&gt;1,"כפולה","")</f>
        <v/>
      </c>
    </row>
    <row r="97">
      <c r="A97" s="5" t="n">
        <v>46064</v>
      </c>
      <c r="B97" s="6" t="n">
        <v>50095</v>
      </c>
      <c r="C97" s="6" t="inlineStr">
        <is>
          <t>C103</t>
        </is>
      </c>
      <c r="D97" s="6" t="inlineStr">
        <is>
          <t>P03</t>
        </is>
      </c>
      <c r="E97" s="6" t="n">
        <v>17</v>
      </c>
      <c r="F97" s="7" t="n">
        <v>12</v>
      </c>
      <c r="G97" s="6">
        <f>IFERROR(INDEX('לקוחות'!$B:$B,MATCH(C97,'לקוחות'!$A:$A,0)),"לא נמצא")</f>
        <v/>
      </c>
      <c r="H97" s="7">
        <f>E97*F97</f>
        <v/>
      </c>
      <c r="I97" s="6">
        <f>MONTH(A97)</f>
        <v/>
      </c>
      <c r="J97" s="7">
        <f>INDEX('מוצרים'!$D:$D,MATCH(D97,'מוצרים'!$A:$A,0))</f>
        <v/>
      </c>
      <c r="K97" s="7">
        <f>(F97-J97)*E97</f>
        <v/>
      </c>
      <c r="L97" s="6">
        <f>IF(COUNTIF($B:$B,B97)&gt;1,"כפולה","")</f>
        <v/>
      </c>
    </row>
    <row r="98">
      <c r="A98" s="5" t="n">
        <v>46065</v>
      </c>
      <c r="B98" s="6" t="n">
        <v>50096</v>
      </c>
      <c r="C98" s="6" t="inlineStr">
        <is>
          <t>C104</t>
        </is>
      </c>
      <c r="D98" s="6" t="inlineStr">
        <is>
          <t>P07</t>
        </is>
      </c>
      <c r="E98" s="6" t="n">
        <v>14</v>
      </c>
      <c r="F98" s="7" t="n">
        <v>95</v>
      </c>
      <c r="G98" s="6">
        <f>IFERROR(INDEX('לקוחות'!$B:$B,MATCH(C98,'לקוחות'!$A:$A,0)),"לא נמצא")</f>
        <v/>
      </c>
      <c r="H98" s="7">
        <f>E98*F98</f>
        <v/>
      </c>
      <c r="I98" s="6">
        <f>MONTH(A98)</f>
        <v/>
      </c>
      <c r="J98" s="7">
        <f>INDEX('מוצרים'!$D:$D,MATCH(D98,'מוצרים'!$A:$A,0))</f>
        <v/>
      </c>
      <c r="K98" s="7">
        <f>(F98-J98)*E98</f>
        <v/>
      </c>
      <c r="L98" s="6">
        <f>IF(COUNTIF($B:$B,B98)&gt;1,"כפולה","")</f>
        <v/>
      </c>
    </row>
    <row r="99">
      <c r="A99" s="5" t="n">
        <v>46065</v>
      </c>
      <c r="B99" s="6" t="n">
        <v>50097</v>
      </c>
      <c r="C99" s="6" t="inlineStr">
        <is>
          <t>C106</t>
        </is>
      </c>
      <c r="D99" s="6" t="inlineStr">
        <is>
          <t>P01</t>
        </is>
      </c>
      <c r="E99" s="6" t="n">
        <v>25</v>
      </c>
      <c r="F99" s="7" t="n">
        <v>85</v>
      </c>
      <c r="G99" s="6">
        <f>IFERROR(INDEX('לקוחות'!$B:$B,MATCH(C99,'לקוחות'!$A:$A,0)),"לא נמצא")</f>
        <v/>
      </c>
      <c r="H99" s="7">
        <f>E99*F99</f>
        <v/>
      </c>
      <c r="I99" s="6">
        <f>MONTH(A99)</f>
        <v/>
      </c>
      <c r="J99" s="7">
        <f>INDEX('מוצרים'!$D:$D,MATCH(D99,'מוצרים'!$A:$A,0))</f>
        <v/>
      </c>
      <c r="K99" s="7">
        <f>(F99-J99)*E99</f>
        <v/>
      </c>
      <c r="L99" s="6">
        <f>IF(COUNTIF($B:$B,B99)&gt;1,"כפולה","")</f>
        <v/>
      </c>
    </row>
    <row r="100">
      <c r="A100" s="5" t="n">
        <v>46065</v>
      </c>
      <c r="B100" s="6" t="n">
        <v>50098</v>
      </c>
      <c r="C100" s="6" t="inlineStr">
        <is>
          <t>C104</t>
        </is>
      </c>
      <c r="D100" s="6" t="inlineStr">
        <is>
          <t>P05</t>
        </is>
      </c>
      <c r="E100" s="6" t="n">
        <v>29</v>
      </c>
      <c r="F100" s="7" t="n">
        <v>150</v>
      </c>
      <c r="G100" s="6">
        <f>IFERROR(INDEX('לקוחות'!$B:$B,MATCH(C100,'לקוחות'!$A:$A,0)),"לא נמצא")</f>
        <v/>
      </c>
      <c r="H100" s="7">
        <f>E100*F100</f>
        <v/>
      </c>
      <c r="I100" s="6">
        <f>MONTH(A100)</f>
        <v/>
      </c>
      <c r="J100" s="7">
        <f>INDEX('מוצרים'!$D:$D,MATCH(D100,'מוצרים'!$A:$A,0))</f>
        <v/>
      </c>
      <c r="K100" s="7">
        <f>(F100-J100)*E100</f>
        <v/>
      </c>
      <c r="L100" s="6">
        <f>IF(COUNTIF($B:$B,B100)&gt;1,"כפולה","")</f>
        <v/>
      </c>
    </row>
    <row r="101">
      <c r="A101" s="5" t="n">
        <v>46066</v>
      </c>
      <c r="B101" s="6" t="n">
        <v>50099</v>
      </c>
      <c r="C101" s="6" t="inlineStr">
        <is>
          <t>C101</t>
        </is>
      </c>
      <c r="D101" s="6" t="inlineStr">
        <is>
          <t>P02</t>
        </is>
      </c>
      <c r="E101" s="6" t="n">
        <v>34</v>
      </c>
      <c r="F101" s="7" t="n">
        <v>110</v>
      </c>
      <c r="G101" s="6">
        <f>IFERROR(INDEX('לקוחות'!$B:$B,MATCH(C101,'לקוחות'!$A:$A,0)),"לא נמצא")</f>
        <v/>
      </c>
      <c r="H101" s="7">
        <f>E101*F101</f>
        <v/>
      </c>
      <c r="I101" s="6">
        <f>MONTH(A101)</f>
        <v/>
      </c>
      <c r="J101" s="7">
        <f>INDEX('מוצרים'!$D:$D,MATCH(D101,'מוצרים'!$A:$A,0))</f>
        <v/>
      </c>
      <c r="K101" s="7">
        <f>(F101-J101)*E101</f>
        <v/>
      </c>
      <c r="L101" s="6">
        <f>IF(COUNTIF($B:$B,B101)&gt;1,"כפולה","")</f>
        <v/>
      </c>
    </row>
    <row r="102">
      <c r="A102" s="5" t="n">
        <v>46067</v>
      </c>
      <c r="B102" s="6" t="n">
        <v>50100</v>
      </c>
      <c r="C102" s="6" t="inlineStr">
        <is>
          <t>C107</t>
        </is>
      </c>
      <c r="D102" s="6" t="inlineStr">
        <is>
          <t>P08</t>
        </is>
      </c>
      <c r="E102" s="6" t="n">
        <v>18</v>
      </c>
      <c r="F102" s="7" t="n">
        <v>199</v>
      </c>
      <c r="G102" s="6">
        <f>IFERROR(INDEX('לקוחות'!$B:$B,MATCH(C102,'לקוחות'!$A:$A,0)),"לא נמצא")</f>
        <v/>
      </c>
      <c r="H102" s="7">
        <f>E102*F102</f>
        <v/>
      </c>
      <c r="I102" s="6">
        <f>MONTH(A102)</f>
        <v/>
      </c>
      <c r="J102" s="7">
        <f>INDEX('מוצרים'!$D:$D,MATCH(D102,'מוצרים'!$A:$A,0))</f>
        <v/>
      </c>
      <c r="K102" s="7">
        <f>(F102-J102)*E102</f>
        <v/>
      </c>
      <c r="L102" s="6">
        <f>IF(COUNTIF($B:$B,B102)&gt;1,"כפולה","")</f>
        <v/>
      </c>
    </row>
    <row r="103">
      <c r="A103" s="5" t="n">
        <v>46069</v>
      </c>
      <c r="B103" s="6" t="n">
        <v>50101</v>
      </c>
      <c r="C103" s="6" t="inlineStr">
        <is>
          <t>C108</t>
        </is>
      </c>
      <c r="D103" s="6" t="inlineStr">
        <is>
          <t>P05</t>
        </is>
      </c>
      <c r="E103" s="6" t="n">
        <v>21</v>
      </c>
      <c r="F103" s="7" t="n">
        <v>150</v>
      </c>
      <c r="G103" s="6">
        <f>IFERROR(INDEX('לקוחות'!$B:$B,MATCH(C103,'לקוחות'!$A:$A,0)),"לא נמצא")</f>
        <v/>
      </c>
      <c r="H103" s="7">
        <f>E103*F103</f>
        <v/>
      </c>
      <c r="I103" s="6">
        <f>MONTH(A103)</f>
        <v/>
      </c>
      <c r="J103" s="7">
        <f>INDEX('מוצרים'!$D:$D,MATCH(D103,'מוצרים'!$A:$A,0))</f>
        <v/>
      </c>
      <c r="K103" s="7">
        <f>(F103-J103)*E103</f>
        <v/>
      </c>
      <c r="L103" s="6">
        <f>IF(COUNTIF($B:$B,B103)&gt;1,"כפולה","")</f>
        <v/>
      </c>
    </row>
    <row r="104">
      <c r="A104" s="5" t="n">
        <v>46071</v>
      </c>
      <c r="B104" s="6" t="n">
        <v>50102</v>
      </c>
      <c r="C104" s="6" t="inlineStr">
        <is>
          <t>C109</t>
        </is>
      </c>
      <c r="D104" s="6" t="inlineStr">
        <is>
          <t>P03</t>
        </is>
      </c>
      <c r="E104" s="6" t="n">
        <v>5</v>
      </c>
      <c r="F104" s="7" t="n">
        <v>13</v>
      </c>
      <c r="G104" s="6">
        <f>IFERROR(INDEX('לקוחות'!$B:$B,MATCH(C104,'לקוחות'!$A:$A,0)),"לא נמצא")</f>
        <v/>
      </c>
      <c r="H104" s="7">
        <f>E104*F104</f>
        <v/>
      </c>
      <c r="I104" s="6">
        <f>MONTH(A104)</f>
        <v/>
      </c>
      <c r="J104" s="7">
        <f>INDEX('מוצרים'!$D:$D,MATCH(D104,'מוצרים'!$A:$A,0))</f>
        <v/>
      </c>
      <c r="K104" s="7">
        <f>(F104-J104)*E104</f>
        <v/>
      </c>
      <c r="L104" s="6">
        <f>IF(COUNTIF($B:$B,B104)&gt;1,"כפולה","")</f>
        <v/>
      </c>
    </row>
    <row r="105">
      <c r="A105" s="5" t="n">
        <v>46071</v>
      </c>
      <c r="B105" s="6" t="n">
        <v>50103</v>
      </c>
      <c r="C105" s="6" t="inlineStr">
        <is>
          <t>C104</t>
        </is>
      </c>
      <c r="D105" s="6" t="inlineStr">
        <is>
          <t>P06</t>
        </is>
      </c>
      <c r="E105" s="6" t="n">
        <v>4</v>
      </c>
      <c r="F105" s="7" t="n">
        <v>70</v>
      </c>
      <c r="G105" s="6">
        <f>IFERROR(INDEX('לקוחות'!$B:$B,MATCH(C105,'לקוחות'!$A:$A,0)),"לא נמצא")</f>
        <v/>
      </c>
      <c r="H105" s="7">
        <f>E105*F105</f>
        <v/>
      </c>
      <c r="I105" s="6">
        <f>MONTH(A105)</f>
        <v/>
      </c>
      <c r="J105" s="7">
        <f>INDEX('מוצרים'!$D:$D,MATCH(D105,'מוצרים'!$A:$A,0))</f>
        <v/>
      </c>
      <c r="K105" s="7">
        <f>(F105-J105)*E105</f>
        <v/>
      </c>
      <c r="L105" s="6">
        <f>IF(COUNTIF($B:$B,B105)&gt;1,"כפולה","")</f>
        <v/>
      </c>
    </row>
    <row r="106">
      <c r="A106" s="5" t="n">
        <v>46072</v>
      </c>
      <c r="B106" s="6" t="n">
        <v>50104</v>
      </c>
      <c r="C106" s="6" t="inlineStr">
        <is>
          <t>C105</t>
        </is>
      </c>
      <c r="D106" s="6" t="inlineStr">
        <is>
          <t>P02</t>
        </is>
      </c>
      <c r="E106" s="6" t="n">
        <v>35</v>
      </c>
      <c r="F106" s="7" t="n">
        <v>110</v>
      </c>
      <c r="G106" s="6">
        <f>IFERROR(INDEX('לקוחות'!$B:$B,MATCH(C106,'לקוחות'!$A:$A,0)),"לא נמצא")</f>
        <v/>
      </c>
      <c r="H106" s="7">
        <f>E106*F106</f>
        <v/>
      </c>
      <c r="I106" s="6">
        <f>MONTH(A106)</f>
        <v/>
      </c>
      <c r="J106" s="7">
        <f>INDEX('מוצרים'!$D:$D,MATCH(D106,'מוצרים'!$A:$A,0))</f>
        <v/>
      </c>
      <c r="K106" s="7">
        <f>(F106-J106)*E106</f>
        <v/>
      </c>
      <c r="L106" s="6">
        <f>IF(COUNTIF($B:$B,B106)&gt;1,"כפולה","")</f>
        <v/>
      </c>
    </row>
    <row r="107">
      <c r="A107" s="5" t="n">
        <v>46073</v>
      </c>
      <c r="B107" s="6" t="n">
        <v>50105</v>
      </c>
      <c r="C107" s="6" t="inlineStr">
        <is>
          <t>C106</t>
        </is>
      </c>
      <c r="D107" s="6" t="inlineStr">
        <is>
          <t>P08</t>
        </is>
      </c>
      <c r="E107" s="6" t="n">
        <v>7</v>
      </c>
      <c r="F107" s="7" t="n">
        <v>199</v>
      </c>
      <c r="G107" s="6">
        <f>IFERROR(INDEX('לקוחות'!$B:$B,MATCH(C107,'לקוחות'!$A:$A,0)),"לא נמצא")</f>
        <v/>
      </c>
      <c r="H107" s="7">
        <f>E107*F107</f>
        <v/>
      </c>
      <c r="I107" s="6">
        <f>MONTH(A107)</f>
        <v/>
      </c>
      <c r="J107" s="7">
        <f>INDEX('מוצרים'!$D:$D,MATCH(D107,'מוצרים'!$A:$A,0))</f>
        <v/>
      </c>
      <c r="K107" s="7">
        <f>(F107-J107)*E107</f>
        <v/>
      </c>
      <c r="L107" s="6">
        <f>IF(COUNTIF($B:$B,B107)&gt;1,"כפולה","")</f>
        <v/>
      </c>
    </row>
    <row r="108">
      <c r="A108" s="5" t="n">
        <v>46074</v>
      </c>
      <c r="B108" s="6" t="n">
        <v>50106</v>
      </c>
      <c r="C108" s="6" t="inlineStr">
        <is>
          <t>C100</t>
        </is>
      </c>
      <c r="D108" s="6" t="inlineStr">
        <is>
          <t>P06</t>
        </is>
      </c>
      <c r="E108" s="6" t="n">
        <v>20</v>
      </c>
      <c r="F108" s="7" t="n">
        <v>70</v>
      </c>
      <c r="G108" s="6">
        <f>IFERROR(INDEX('לקוחות'!$B:$B,MATCH(C108,'לקוחות'!$A:$A,0)),"לא נמצא")</f>
        <v/>
      </c>
      <c r="H108" s="7">
        <f>E108*F108</f>
        <v/>
      </c>
      <c r="I108" s="6">
        <f>MONTH(A108)</f>
        <v/>
      </c>
      <c r="J108" s="7">
        <f>INDEX('מוצרים'!$D:$D,MATCH(D108,'מוצרים'!$A:$A,0))</f>
        <v/>
      </c>
      <c r="K108" s="7">
        <f>(F108-J108)*E108</f>
        <v/>
      </c>
      <c r="L108" s="6">
        <f>IF(COUNTIF($B:$B,B108)&gt;1,"כפולה","")</f>
        <v/>
      </c>
    </row>
    <row r="109">
      <c r="A109" s="5" t="n">
        <v>46074</v>
      </c>
      <c r="B109" s="6" t="n">
        <v>50107</v>
      </c>
      <c r="C109" s="6" t="inlineStr">
        <is>
          <t>C102</t>
        </is>
      </c>
      <c r="D109" s="6" t="inlineStr">
        <is>
          <t>P04</t>
        </is>
      </c>
      <c r="E109" s="6" t="n">
        <v>32</v>
      </c>
      <c r="F109" s="7" t="n">
        <v>29</v>
      </c>
      <c r="G109" s="6">
        <f>IFERROR(INDEX('לקוחות'!$B:$B,MATCH(C109,'לקוחות'!$A:$A,0)),"לא נמצא")</f>
        <v/>
      </c>
      <c r="H109" s="7">
        <f>E109*F109</f>
        <v/>
      </c>
      <c r="I109" s="6">
        <f>MONTH(A109)</f>
        <v/>
      </c>
      <c r="J109" s="7">
        <f>INDEX('מוצרים'!$D:$D,MATCH(D109,'מוצרים'!$A:$A,0))</f>
        <v/>
      </c>
      <c r="K109" s="7">
        <f>(F109-J109)*E109</f>
        <v/>
      </c>
      <c r="L109" s="6">
        <f>IF(COUNTIF($B:$B,B109)&gt;1,"כפולה","")</f>
        <v/>
      </c>
    </row>
    <row r="110">
      <c r="A110" s="5" t="n">
        <v>46075</v>
      </c>
      <c r="B110" s="6" t="n">
        <v>50108</v>
      </c>
      <c r="C110" s="6" t="inlineStr">
        <is>
          <t>C104</t>
        </is>
      </c>
      <c r="D110" s="6" t="inlineStr">
        <is>
          <t>P03</t>
        </is>
      </c>
      <c r="E110" s="6" t="n">
        <v>19</v>
      </c>
      <c r="F110" s="7" t="n">
        <v>13</v>
      </c>
      <c r="G110" s="6">
        <f>IFERROR(INDEX('לקוחות'!$B:$B,MATCH(C110,'לקוחות'!$A:$A,0)),"לא נמצא")</f>
        <v/>
      </c>
      <c r="H110" s="7">
        <f>E110*F110</f>
        <v/>
      </c>
      <c r="I110" s="6">
        <f>MONTH(A110)</f>
        <v/>
      </c>
      <c r="J110" s="7">
        <f>INDEX('מוצרים'!$D:$D,MATCH(D110,'מוצרים'!$A:$A,0))</f>
        <v/>
      </c>
      <c r="K110" s="7">
        <f>(F110-J110)*E110</f>
        <v/>
      </c>
      <c r="L110" s="6">
        <f>IF(COUNTIF($B:$B,B110)&gt;1,"כפולה","")</f>
        <v/>
      </c>
    </row>
    <row r="111">
      <c r="A111" s="5" t="n">
        <v>46075</v>
      </c>
      <c r="B111" s="6" t="n">
        <v>50109</v>
      </c>
      <c r="C111" s="6" t="inlineStr">
        <is>
          <t>C104</t>
        </is>
      </c>
      <c r="D111" s="6" t="inlineStr">
        <is>
          <t>P04</t>
        </is>
      </c>
      <c r="E111" s="6" t="n">
        <v>9</v>
      </c>
      <c r="F111" s="7" t="n">
        <v>32</v>
      </c>
      <c r="G111" s="6">
        <f>IFERROR(INDEX('לקוחות'!$B:$B,MATCH(C111,'לקוחות'!$A:$A,0)),"לא נמצא")</f>
        <v/>
      </c>
      <c r="H111" s="7">
        <f>E111*F111</f>
        <v/>
      </c>
      <c r="I111" s="6">
        <f>MONTH(A111)</f>
        <v/>
      </c>
      <c r="J111" s="7">
        <f>INDEX('מוצרים'!$D:$D,MATCH(D111,'מוצרים'!$A:$A,0))</f>
        <v/>
      </c>
      <c r="K111" s="7">
        <f>(F111-J111)*E111</f>
        <v/>
      </c>
      <c r="L111" s="6">
        <f>IF(COUNTIF($B:$B,B111)&gt;1,"כפולה","")</f>
        <v/>
      </c>
    </row>
    <row r="112">
      <c r="A112" s="5" t="n">
        <v>46075</v>
      </c>
      <c r="B112" s="6" t="n">
        <v>50110</v>
      </c>
      <c r="C112" s="6" t="inlineStr">
        <is>
          <t>C105</t>
        </is>
      </c>
      <c r="D112" s="6" t="inlineStr">
        <is>
          <t>P03</t>
        </is>
      </c>
      <c r="E112" s="6" t="n">
        <v>21</v>
      </c>
      <c r="F112" s="7" t="n">
        <v>13</v>
      </c>
      <c r="G112" s="6">
        <f>IFERROR(INDEX('לקוחות'!$B:$B,MATCH(C112,'לקוחות'!$A:$A,0)),"לא נמצא")</f>
        <v/>
      </c>
      <c r="H112" s="7">
        <f>E112*F112</f>
        <v/>
      </c>
      <c r="I112" s="6">
        <f>MONTH(A112)</f>
        <v/>
      </c>
      <c r="J112" s="7">
        <f>INDEX('מוצרים'!$D:$D,MATCH(D112,'מוצרים'!$A:$A,0))</f>
        <v/>
      </c>
      <c r="K112" s="7">
        <f>(F112-J112)*E112</f>
        <v/>
      </c>
      <c r="L112" s="6">
        <f>IF(COUNTIF($B:$B,B112)&gt;1,"כפולה","")</f>
        <v/>
      </c>
    </row>
    <row r="113">
      <c r="A113" s="5" t="n">
        <v>46076</v>
      </c>
      <c r="B113" s="6" t="n">
        <v>50111</v>
      </c>
      <c r="C113" s="6" t="inlineStr">
        <is>
          <t>C105</t>
        </is>
      </c>
      <c r="D113" s="6" t="inlineStr">
        <is>
          <t>P04</t>
        </is>
      </c>
      <c r="E113" s="6" t="n">
        <v>17</v>
      </c>
      <c r="F113" s="7" t="n">
        <v>32</v>
      </c>
      <c r="G113" s="6">
        <f>IFERROR(INDEX('לקוחות'!$B:$B,MATCH(C113,'לקוחות'!$A:$A,0)),"לא נמצא")</f>
        <v/>
      </c>
      <c r="H113" s="7">
        <f>E113*F113</f>
        <v/>
      </c>
      <c r="I113" s="6">
        <f>MONTH(A113)</f>
        <v/>
      </c>
      <c r="J113" s="7">
        <f>INDEX('מוצרים'!$D:$D,MATCH(D113,'מוצרים'!$A:$A,0))</f>
        <v/>
      </c>
      <c r="K113" s="7">
        <f>(F113-J113)*E113</f>
        <v/>
      </c>
      <c r="L113" s="6">
        <f>IF(COUNTIF($B:$B,B113)&gt;1,"כפולה","")</f>
        <v/>
      </c>
    </row>
    <row r="114">
      <c r="A114" s="5" t="n">
        <v>46077</v>
      </c>
      <c r="B114" s="6" t="n">
        <v>50112</v>
      </c>
      <c r="C114" s="6" t="inlineStr">
        <is>
          <t>C108</t>
        </is>
      </c>
      <c r="D114" s="6" t="inlineStr">
        <is>
          <t>P03</t>
        </is>
      </c>
      <c r="E114" s="6" t="n">
        <v>37</v>
      </c>
      <c r="F114" s="7" t="n">
        <v>13</v>
      </c>
      <c r="G114" s="6">
        <f>IFERROR(INDEX('לקוחות'!$B:$B,MATCH(C114,'לקוחות'!$A:$A,0)),"לא נמצא")</f>
        <v/>
      </c>
      <c r="H114" s="7">
        <f>E114*F114</f>
        <v/>
      </c>
      <c r="I114" s="6">
        <f>MONTH(A114)</f>
        <v/>
      </c>
      <c r="J114" s="7">
        <f>INDEX('מוצרים'!$D:$D,MATCH(D114,'מוצרים'!$A:$A,0))</f>
        <v/>
      </c>
      <c r="K114" s="7">
        <f>(F114-J114)*E114</f>
        <v/>
      </c>
      <c r="L114" s="6">
        <f>IF(COUNTIF($B:$B,B114)&gt;1,"כפולה","")</f>
        <v/>
      </c>
    </row>
    <row r="115">
      <c r="A115" s="5" t="n">
        <v>46077</v>
      </c>
      <c r="B115" s="6" t="n">
        <v>50113</v>
      </c>
      <c r="C115" s="6" t="inlineStr">
        <is>
          <t>C107</t>
        </is>
      </c>
      <c r="D115" s="6" t="inlineStr">
        <is>
          <t>P06</t>
        </is>
      </c>
      <c r="E115" s="6" t="n">
        <v>22</v>
      </c>
      <c r="F115" s="7" t="n">
        <v>70</v>
      </c>
      <c r="G115" s="6">
        <f>IFERROR(INDEX('לקוחות'!$B:$B,MATCH(C115,'לקוחות'!$A:$A,0)),"לא נמצא")</f>
        <v/>
      </c>
      <c r="H115" s="7">
        <f>E115*F115</f>
        <v/>
      </c>
      <c r="I115" s="6">
        <f>MONTH(A115)</f>
        <v/>
      </c>
      <c r="J115" s="7">
        <f>INDEX('מוצרים'!$D:$D,MATCH(D115,'מוצרים'!$A:$A,0))</f>
        <v/>
      </c>
      <c r="K115" s="7">
        <f>(F115-J115)*E115</f>
        <v/>
      </c>
      <c r="L115" s="6">
        <f>IF(COUNTIF($B:$B,B115)&gt;1,"כפולה","")</f>
        <v/>
      </c>
    </row>
    <row r="116">
      <c r="A116" s="5" t="n">
        <v>46077</v>
      </c>
      <c r="B116" s="6" t="n">
        <v>50114</v>
      </c>
      <c r="C116" s="6" t="inlineStr">
        <is>
          <t>C109</t>
        </is>
      </c>
      <c r="D116" s="6" t="inlineStr">
        <is>
          <t>P05</t>
        </is>
      </c>
      <c r="E116" s="6" t="n">
        <v>32</v>
      </c>
      <c r="F116" s="7" t="n">
        <v>150</v>
      </c>
      <c r="G116" s="6">
        <f>IFERROR(INDEX('לקוחות'!$B:$B,MATCH(C116,'לקוחות'!$A:$A,0)),"לא נמצא")</f>
        <v/>
      </c>
      <c r="H116" s="7">
        <f>E116*F116</f>
        <v/>
      </c>
      <c r="I116" s="6">
        <f>MONTH(A116)</f>
        <v/>
      </c>
      <c r="J116" s="7">
        <f>INDEX('מוצרים'!$D:$D,MATCH(D116,'מוצרים'!$A:$A,0))</f>
        <v/>
      </c>
      <c r="K116" s="7">
        <f>(F116-J116)*E116</f>
        <v/>
      </c>
      <c r="L116" s="6">
        <f>IF(COUNTIF($B:$B,B116)&gt;1,"כפולה","")</f>
        <v/>
      </c>
    </row>
    <row r="117">
      <c r="A117" s="5" t="n">
        <v>46079</v>
      </c>
      <c r="B117" s="6" t="n">
        <v>50115</v>
      </c>
      <c r="C117" s="6" t="inlineStr">
        <is>
          <t>C103</t>
        </is>
      </c>
      <c r="D117" s="6" t="inlineStr">
        <is>
          <t>P08</t>
        </is>
      </c>
      <c r="E117" s="6" t="n">
        <v>23</v>
      </c>
      <c r="F117" s="7" t="n">
        <v>199</v>
      </c>
      <c r="G117" s="6">
        <f>IFERROR(INDEX('לקוחות'!$B:$B,MATCH(C117,'לקוחות'!$A:$A,0)),"לא נמצא")</f>
        <v/>
      </c>
      <c r="H117" s="7">
        <f>E117*F117</f>
        <v/>
      </c>
      <c r="I117" s="6">
        <f>MONTH(A117)</f>
        <v/>
      </c>
      <c r="J117" s="7">
        <f>INDEX('מוצרים'!$D:$D,MATCH(D117,'מוצרים'!$A:$A,0))</f>
        <v/>
      </c>
      <c r="K117" s="7">
        <f>(F117-J117)*E117</f>
        <v/>
      </c>
      <c r="L117" s="6">
        <f>IF(COUNTIF($B:$B,B117)&gt;1,"כפולה","")</f>
        <v/>
      </c>
    </row>
    <row r="118">
      <c r="A118" s="5" t="n">
        <v>46079</v>
      </c>
      <c r="B118" s="6" t="n">
        <v>50116</v>
      </c>
      <c r="C118" s="6" t="inlineStr">
        <is>
          <t>C107</t>
        </is>
      </c>
      <c r="D118" s="6" t="inlineStr">
        <is>
          <t>P06</t>
        </is>
      </c>
      <c r="E118" s="6" t="n">
        <v>2</v>
      </c>
      <c r="F118" s="7" t="n">
        <v>70</v>
      </c>
      <c r="G118" s="6">
        <f>IFERROR(INDEX('לקוחות'!$B:$B,MATCH(C118,'לקוחות'!$A:$A,0)),"לא נמצא")</f>
        <v/>
      </c>
      <c r="H118" s="7">
        <f>E118*F118</f>
        <v/>
      </c>
      <c r="I118" s="6">
        <f>MONTH(A118)</f>
        <v/>
      </c>
      <c r="J118" s="7">
        <f>INDEX('מוצרים'!$D:$D,MATCH(D118,'מוצרים'!$A:$A,0))</f>
        <v/>
      </c>
      <c r="K118" s="7">
        <f>(F118-J118)*E118</f>
        <v/>
      </c>
      <c r="L118" s="6">
        <f>IF(COUNTIF($B:$B,B118)&gt;1,"כפולה","")</f>
        <v/>
      </c>
    </row>
    <row r="119">
      <c r="A119" s="5" t="n">
        <v>46080</v>
      </c>
      <c r="B119" s="6" t="n">
        <v>50117</v>
      </c>
      <c r="C119" s="6" t="inlineStr">
        <is>
          <t>C102</t>
        </is>
      </c>
      <c r="D119" s="6" t="inlineStr">
        <is>
          <t>P05</t>
        </is>
      </c>
      <c r="E119" s="6" t="n">
        <v>10</v>
      </c>
      <c r="F119" s="7" t="n">
        <v>135</v>
      </c>
      <c r="G119" s="6">
        <f>IFERROR(INDEX('לקוחות'!$B:$B,MATCH(C119,'לקוחות'!$A:$A,0)),"לא נמצא")</f>
        <v/>
      </c>
      <c r="H119" s="7">
        <f>E119*F119</f>
        <v/>
      </c>
      <c r="I119" s="6">
        <f>MONTH(A119)</f>
        <v/>
      </c>
      <c r="J119" s="7">
        <f>INDEX('מוצרים'!$D:$D,MATCH(D119,'מוצרים'!$A:$A,0))</f>
        <v/>
      </c>
      <c r="K119" s="7">
        <f>(F119-J119)*E119</f>
        <v/>
      </c>
      <c r="L119" s="6">
        <f>IF(COUNTIF($B:$B,B119)&gt;1,"כפולה","")</f>
        <v/>
      </c>
    </row>
    <row r="120">
      <c r="A120" s="5" t="n">
        <v>46080</v>
      </c>
      <c r="B120" s="6" t="n">
        <v>50118</v>
      </c>
      <c r="C120" s="6" t="inlineStr">
        <is>
          <t>C101</t>
        </is>
      </c>
      <c r="D120" s="6" t="inlineStr">
        <is>
          <t>P06</t>
        </is>
      </c>
      <c r="E120" s="6" t="n">
        <v>36</v>
      </c>
      <c r="F120" s="7" t="n">
        <v>70</v>
      </c>
      <c r="G120" s="6">
        <f>IFERROR(INDEX('לקוחות'!$B:$B,MATCH(C120,'לקוחות'!$A:$A,0)),"לא נמצא")</f>
        <v/>
      </c>
      <c r="H120" s="7">
        <f>E120*F120</f>
        <v/>
      </c>
      <c r="I120" s="6">
        <f>MONTH(A120)</f>
        <v/>
      </c>
      <c r="J120" s="7">
        <f>INDEX('מוצרים'!$D:$D,MATCH(D120,'מוצרים'!$A:$A,0))</f>
        <v/>
      </c>
      <c r="K120" s="7">
        <f>(F120-J120)*E120</f>
        <v/>
      </c>
      <c r="L120" s="6">
        <f>IF(COUNTIF($B:$B,B120)&gt;1,"כפולה","")</f>
        <v/>
      </c>
    </row>
    <row r="121">
      <c r="A121" s="5" t="n">
        <v>46081</v>
      </c>
      <c r="B121" s="6" t="n">
        <v>50119</v>
      </c>
      <c r="C121" s="6" t="inlineStr">
        <is>
          <t>C103</t>
        </is>
      </c>
      <c r="D121" s="6" t="inlineStr">
        <is>
          <t>P01</t>
        </is>
      </c>
      <c r="E121" s="6" t="n">
        <v>13</v>
      </c>
      <c r="F121" s="7" t="n">
        <v>85</v>
      </c>
      <c r="G121" s="6">
        <f>IFERROR(INDEX('לקוחות'!$B:$B,MATCH(C121,'לקוחות'!$A:$A,0)),"לא נמצא")</f>
        <v/>
      </c>
      <c r="H121" s="7">
        <f>E121*F121</f>
        <v/>
      </c>
      <c r="I121" s="6">
        <f>MONTH(A121)</f>
        <v/>
      </c>
      <c r="J121" s="7">
        <f>INDEX('מוצרים'!$D:$D,MATCH(D121,'מוצרים'!$A:$A,0))</f>
        <v/>
      </c>
      <c r="K121" s="7">
        <f>(F121-J121)*E121</f>
        <v/>
      </c>
      <c r="L121" s="6">
        <f>IF(COUNTIF($B:$B,B121)&gt;1,"כפולה","")</f>
        <v/>
      </c>
    </row>
    <row r="122">
      <c r="A122" s="5" t="n">
        <v>46081</v>
      </c>
      <c r="B122" s="6" t="n">
        <v>50120</v>
      </c>
      <c r="C122" s="6" t="inlineStr">
        <is>
          <t>C111</t>
        </is>
      </c>
      <c r="D122" s="6" t="inlineStr">
        <is>
          <t>P06</t>
        </is>
      </c>
      <c r="E122" s="6" t="n">
        <v>15</v>
      </c>
      <c r="F122" s="7" t="n">
        <v>70</v>
      </c>
      <c r="G122" s="6">
        <f>IFERROR(INDEX('לקוחות'!$B:$B,MATCH(C122,'לקוחות'!$A:$A,0)),"לא נמצא")</f>
        <v/>
      </c>
      <c r="H122" s="7">
        <f>E122*F122</f>
        <v/>
      </c>
      <c r="I122" s="6">
        <f>MONTH(A122)</f>
        <v/>
      </c>
      <c r="J122" s="7">
        <f>INDEX('מוצרים'!$D:$D,MATCH(D122,'מוצרים'!$A:$A,0))</f>
        <v/>
      </c>
      <c r="K122" s="7">
        <f>(F122-J122)*E122</f>
        <v/>
      </c>
      <c r="L122" s="6">
        <f>IF(COUNTIF($B:$B,B122)&gt;1,"כפולה","")</f>
        <v/>
      </c>
    </row>
    <row r="123">
      <c r="A123" s="5" t="n">
        <v>46081</v>
      </c>
      <c r="B123" s="6" t="n">
        <v>50121</v>
      </c>
      <c r="C123" s="6" t="inlineStr">
        <is>
          <t>C106</t>
        </is>
      </c>
      <c r="D123" s="6" t="inlineStr">
        <is>
          <t>P06</t>
        </is>
      </c>
      <c r="E123" s="6" t="n">
        <v>30</v>
      </c>
      <c r="F123" s="7" t="n">
        <v>70</v>
      </c>
      <c r="G123" s="6">
        <f>IFERROR(INDEX('לקוחות'!$B:$B,MATCH(C123,'לקוחות'!$A:$A,0)),"לא נמצא")</f>
        <v/>
      </c>
      <c r="H123" s="7">
        <f>E123*F123</f>
        <v/>
      </c>
      <c r="I123" s="6">
        <f>MONTH(A123)</f>
        <v/>
      </c>
      <c r="J123" s="7">
        <f>INDEX('מוצרים'!$D:$D,MATCH(D123,'מוצרים'!$A:$A,0))</f>
        <v/>
      </c>
      <c r="K123" s="7">
        <f>(F123-J123)*E123</f>
        <v/>
      </c>
      <c r="L123" s="6">
        <f>IF(COUNTIF($B:$B,B123)&gt;1,"כפולה","")</f>
        <v/>
      </c>
    </row>
    <row r="124">
      <c r="A124" s="5" t="n">
        <v>46081</v>
      </c>
      <c r="B124" s="6" t="n">
        <v>50122</v>
      </c>
      <c r="C124" s="6" t="inlineStr">
        <is>
          <t>C108</t>
        </is>
      </c>
      <c r="D124" s="6" t="inlineStr">
        <is>
          <t>P06</t>
        </is>
      </c>
      <c r="E124" s="6" t="n">
        <v>5</v>
      </c>
      <c r="F124" s="7" t="n">
        <v>70</v>
      </c>
      <c r="G124" s="6">
        <f>IFERROR(INDEX('לקוחות'!$B:$B,MATCH(C124,'לקוחות'!$A:$A,0)),"לא נמצא")</f>
        <v/>
      </c>
      <c r="H124" s="7">
        <f>E124*F124</f>
        <v/>
      </c>
      <c r="I124" s="6">
        <f>MONTH(A124)</f>
        <v/>
      </c>
      <c r="J124" s="7">
        <f>INDEX('מוצרים'!$D:$D,MATCH(D124,'מוצרים'!$A:$A,0))</f>
        <v/>
      </c>
      <c r="K124" s="7">
        <f>(F124-J124)*E124</f>
        <v/>
      </c>
      <c r="L124" s="6">
        <f>IF(COUNTIF($B:$B,B124)&gt;1,"כפולה","")</f>
        <v/>
      </c>
    </row>
    <row r="125">
      <c r="A125" s="5" t="n">
        <v>46082</v>
      </c>
      <c r="B125" s="6" t="n">
        <v>50123</v>
      </c>
      <c r="C125" s="6" t="inlineStr">
        <is>
          <t>C101</t>
        </is>
      </c>
      <c r="D125" s="6" t="inlineStr">
        <is>
          <t>P07</t>
        </is>
      </c>
      <c r="E125" s="6" t="n">
        <v>18</v>
      </c>
      <c r="F125" s="7" t="n">
        <v>95</v>
      </c>
      <c r="G125" s="6">
        <f>IFERROR(INDEX('לקוחות'!$B:$B,MATCH(C125,'לקוחות'!$A:$A,0)),"לא נמצא")</f>
        <v/>
      </c>
      <c r="H125" s="7">
        <f>E125*F125</f>
        <v/>
      </c>
      <c r="I125" s="6">
        <f>MONTH(A125)</f>
        <v/>
      </c>
      <c r="J125" s="7">
        <f>INDEX('מוצרים'!$D:$D,MATCH(D125,'מוצרים'!$A:$A,0))</f>
        <v/>
      </c>
      <c r="K125" s="7">
        <f>(F125-J125)*E125</f>
        <v/>
      </c>
      <c r="L125" s="6">
        <f>IF(COUNTIF($B:$B,B125)&gt;1,"כפולה","")</f>
        <v/>
      </c>
    </row>
    <row r="126">
      <c r="A126" s="5" t="n">
        <v>46082</v>
      </c>
      <c r="B126" s="6" t="n">
        <v>50124</v>
      </c>
      <c r="C126" s="6" t="inlineStr">
        <is>
          <t>C107</t>
        </is>
      </c>
      <c r="D126" s="6" t="inlineStr">
        <is>
          <t>P01</t>
        </is>
      </c>
      <c r="E126" s="6" t="n">
        <v>40</v>
      </c>
      <c r="F126" s="7" t="n">
        <v>85</v>
      </c>
      <c r="G126" s="6">
        <f>IFERROR(INDEX('לקוחות'!$B:$B,MATCH(C126,'לקוחות'!$A:$A,0)),"לא נמצא")</f>
        <v/>
      </c>
      <c r="H126" s="7">
        <f>E126*F126</f>
        <v/>
      </c>
      <c r="I126" s="6">
        <f>MONTH(A126)</f>
        <v/>
      </c>
      <c r="J126" s="7">
        <f>INDEX('מוצרים'!$D:$D,MATCH(D126,'מוצרים'!$A:$A,0))</f>
        <v/>
      </c>
      <c r="K126" s="7">
        <f>(F126-J126)*E126</f>
        <v/>
      </c>
      <c r="L126" s="6">
        <f>IF(COUNTIF($B:$B,B126)&gt;1,"כפולה","")</f>
        <v/>
      </c>
    </row>
    <row r="127">
      <c r="A127" s="5" t="n">
        <v>46083</v>
      </c>
      <c r="B127" s="6" t="n">
        <v>50125</v>
      </c>
      <c r="C127" s="6" t="inlineStr">
        <is>
          <t>C106</t>
        </is>
      </c>
      <c r="D127" s="6" t="inlineStr">
        <is>
          <t>P02</t>
        </is>
      </c>
      <c r="E127" s="6" t="n">
        <v>37</v>
      </c>
      <c r="F127" s="7" t="n">
        <v>110</v>
      </c>
      <c r="G127" s="6">
        <f>IFERROR(INDEX('לקוחות'!$B:$B,MATCH(C127,'לקוחות'!$A:$A,0)),"לא נמצא")</f>
        <v/>
      </c>
      <c r="H127" s="7">
        <f>E127*F127</f>
        <v/>
      </c>
      <c r="I127" s="6">
        <f>MONTH(A127)</f>
        <v/>
      </c>
      <c r="J127" s="7">
        <f>INDEX('מוצרים'!$D:$D,MATCH(D127,'מוצרים'!$A:$A,0))</f>
        <v/>
      </c>
      <c r="K127" s="7">
        <f>(F127-J127)*E127</f>
        <v/>
      </c>
      <c r="L127" s="6">
        <f>IF(COUNTIF($B:$B,B127)&gt;1,"כפולה","")</f>
        <v/>
      </c>
    </row>
    <row r="128">
      <c r="A128" s="5" t="n">
        <v>46083</v>
      </c>
      <c r="B128" s="6" t="n">
        <v>50126</v>
      </c>
      <c r="C128" s="6" t="inlineStr">
        <is>
          <t>C102</t>
        </is>
      </c>
      <c r="D128" s="6" t="inlineStr">
        <is>
          <t>P03</t>
        </is>
      </c>
      <c r="E128" s="6" t="n">
        <v>27</v>
      </c>
      <c r="F128" s="7" t="n">
        <v>12</v>
      </c>
      <c r="G128" s="6">
        <f>IFERROR(INDEX('לקוחות'!$B:$B,MATCH(C128,'לקוחות'!$A:$A,0)),"לא נמצא")</f>
        <v/>
      </c>
      <c r="H128" s="7">
        <f>E128*F128</f>
        <v/>
      </c>
      <c r="I128" s="6">
        <f>MONTH(A128)</f>
        <v/>
      </c>
      <c r="J128" s="7">
        <f>INDEX('מוצרים'!$D:$D,MATCH(D128,'מוצרים'!$A:$A,0))</f>
        <v/>
      </c>
      <c r="K128" s="7">
        <f>(F128-J128)*E128</f>
        <v/>
      </c>
      <c r="L128" s="6">
        <f>IF(COUNTIF($B:$B,B128)&gt;1,"כפולה","")</f>
        <v/>
      </c>
    </row>
    <row r="129">
      <c r="A129" s="5" t="n">
        <v>46083</v>
      </c>
      <c r="B129" s="6" t="n">
        <v>50127</v>
      </c>
      <c r="C129" s="6" t="inlineStr">
        <is>
          <t>C104</t>
        </is>
      </c>
      <c r="D129" s="6" t="inlineStr">
        <is>
          <t>P04</t>
        </is>
      </c>
      <c r="E129" s="6" t="n">
        <v>13</v>
      </c>
      <c r="F129" s="7" t="n">
        <v>32</v>
      </c>
      <c r="G129" s="6">
        <f>IFERROR(INDEX('לקוחות'!$B:$B,MATCH(C129,'לקוחות'!$A:$A,0)),"לא נמצא")</f>
        <v/>
      </c>
      <c r="H129" s="7">
        <f>E129*F129</f>
        <v/>
      </c>
      <c r="I129" s="6">
        <f>MONTH(A129)</f>
        <v/>
      </c>
      <c r="J129" s="7">
        <f>INDEX('מוצרים'!$D:$D,MATCH(D129,'מוצרים'!$A:$A,0))</f>
        <v/>
      </c>
      <c r="K129" s="7">
        <f>(F129-J129)*E129</f>
        <v/>
      </c>
      <c r="L129" s="6">
        <f>IF(COUNTIF($B:$B,B129)&gt;1,"כפולה","")</f>
        <v/>
      </c>
    </row>
    <row r="130">
      <c r="A130" s="5" t="n">
        <v>46083</v>
      </c>
      <c r="B130" s="6" t="n">
        <v>50128</v>
      </c>
      <c r="C130" s="6" t="inlineStr">
        <is>
          <t>C105</t>
        </is>
      </c>
      <c r="D130" s="6" t="inlineStr">
        <is>
          <t>P02</t>
        </is>
      </c>
      <c r="E130" s="6" t="n">
        <v>24</v>
      </c>
      <c r="F130" s="7" t="n">
        <v>110</v>
      </c>
      <c r="G130" s="6">
        <f>IFERROR(INDEX('לקוחות'!$B:$B,MATCH(C130,'לקוחות'!$A:$A,0)),"לא נמצא")</f>
        <v/>
      </c>
      <c r="H130" s="7">
        <f>E130*F130</f>
        <v/>
      </c>
      <c r="I130" s="6">
        <f>MONTH(A130)</f>
        <v/>
      </c>
      <c r="J130" s="7">
        <f>INDEX('מוצרים'!$D:$D,MATCH(D130,'מוצרים'!$A:$A,0))</f>
        <v/>
      </c>
      <c r="K130" s="7">
        <f>(F130-J130)*E130</f>
        <v/>
      </c>
      <c r="L130" s="6">
        <f>IF(COUNTIF($B:$B,B130)&gt;1,"כפולה","")</f>
        <v/>
      </c>
    </row>
    <row r="131">
      <c r="A131" s="5" t="n">
        <v>46083</v>
      </c>
      <c r="B131" s="6" t="n">
        <v>50129</v>
      </c>
      <c r="C131" s="6" t="inlineStr">
        <is>
          <t>C109</t>
        </is>
      </c>
      <c r="D131" s="6" t="inlineStr">
        <is>
          <t>P06</t>
        </is>
      </c>
      <c r="E131" s="6" t="n">
        <v>2</v>
      </c>
      <c r="F131" s="7" t="n">
        <v>70</v>
      </c>
      <c r="G131" s="6">
        <f>IFERROR(INDEX('לקוחות'!$B:$B,MATCH(C131,'לקוחות'!$A:$A,0)),"לא נמצא")</f>
        <v/>
      </c>
      <c r="H131" s="7">
        <f>E131*F131</f>
        <v/>
      </c>
      <c r="I131" s="6">
        <f>MONTH(A131)</f>
        <v/>
      </c>
      <c r="J131" s="7">
        <f>INDEX('מוצרים'!$D:$D,MATCH(D131,'מוצרים'!$A:$A,0))</f>
        <v/>
      </c>
      <c r="K131" s="7">
        <f>(F131-J131)*E131</f>
        <v/>
      </c>
      <c r="L131" s="6">
        <f>IF(COUNTIF($B:$B,B131)&gt;1,"כפולה","")</f>
        <v/>
      </c>
    </row>
    <row r="132">
      <c r="A132" s="5" t="n">
        <v>46083</v>
      </c>
      <c r="B132" s="6" t="n">
        <v>50130</v>
      </c>
      <c r="C132" s="6" t="inlineStr">
        <is>
          <t>C104</t>
        </is>
      </c>
      <c r="D132" s="6" t="inlineStr">
        <is>
          <t>P02</t>
        </is>
      </c>
      <c r="E132" s="6" t="n">
        <v>4</v>
      </c>
      <c r="F132" s="7" t="n">
        <v>110</v>
      </c>
      <c r="G132" s="6">
        <f>IFERROR(INDEX('לקוחות'!$B:$B,MATCH(C132,'לקוחות'!$A:$A,0)),"לא נמצא")</f>
        <v/>
      </c>
      <c r="H132" s="7">
        <f>E132*F132</f>
        <v/>
      </c>
      <c r="I132" s="6">
        <f>MONTH(A132)</f>
        <v/>
      </c>
      <c r="J132" s="7">
        <f>INDEX('מוצרים'!$D:$D,MATCH(D132,'מוצרים'!$A:$A,0))</f>
        <v/>
      </c>
      <c r="K132" s="7">
        <f>(F132-J132)*E132</f>
        <v/>
      </c>
      <c r="L132" s="6">
        <f>IF(COUNTIF($B:$B,B132)&gt;1,"כפולה","")</f>
        <v/>
      </c>
    </row>
    <row r="133">
      <c r="A133" s="5" t="n">
        <v>46084</v>
      </c>
      <c r="B133" s="6" t="n">
        <v>50131</v>
      </c>
      <c r="C133" s="6" t="inlineStr">
        <is>
          <t>C107</t>
        </is>
      </c>
      <c r="D133" s="6" t="inlineStr">
        <is>
          <t>P08</t>
        </is>
      </c>
      <c r="E133" s="6" t="n">
        <v>29</v>
      </c>
      <c r="F133" s="7" t="n">
        <v>199</v>
      </c>
      <c r="G133" s="6">
        <f>IFERROR(INDEX('לקוחות'!$B:$B,MATCH(C133,'לקוחות'!$A:$A,0)),"לא נמצא")</f>
        <v/>
      </c>
      <c r="H133" s="7">
        <f>E133*F133</f>
        <v/>
      </c>
      <c r="I133" s="6">
        <f>MONTH(A133)</f>
        <v/>
      </c>
      <c r="J133" s="7">
        <f>INDEX('מוצרים'!$D:$D,MATCH(D133,'מוצרים'!$A:$A,0))</f>
        <v/>
      </c>
      <c r="K133" s="7">
        <f>(F133-J133)*E133</f>
        <v/>
      </c>
      <c r="L133" s="6">
        <f>IF(COUNTIF($B:$B,B133)&gt;1,"כפולה","")</f>
        <v/>
      </c>
    </row>
    <row r="134">
      <c r="A134" s="5" t="n">
        <v>46084</v>
      </c>
      <c r="B134" s="6" t="n">
        <v>50132</v>
      </c>
      <c r="C134" s="6" t="inlineStr">
        <is>
          <t>C109</t>
        </is>
      </c>
      <c r="D134" s="6" t="inlineStr">
        <is>
          <t>P07</t>
        </is>
      </c>
      <c r="E134" s="6" t="n">
        <v>15</v>
      </c>
      <c r="F134" s="7" t="n">
        <v>95</v>
      </c>
      <c r="G134" s="6">
        <f>IFERROR(INDEX('לקוחות'!$B:$B,MATCH(C134,'לקוחות'!$A:$A,0)),"לא נמצא")</f>
        <v/>
      </c>
      <c r="H134" s="7">
        <f>E134*F134</f>
        <v/>
      </c>
      <c r="I134" s="6">
        <f>MONTH(A134)</f>
        <v/>
      </c>
      <c r="J134" s="7">
        <f>INDEX('מוצרים'!$D:$D,MATCH(D134,'מוצרים'!$A:$A,0))</f>
        <v/>
      </c>
      <c r="K134" s="7">
        <f>(F134-J134)*E134</f>
        <v/>
      </c>
      <c r="L134" s="6">
        <f>IF(COUNTIF($B:$B,B134)&gt;1,"כפולה","")</f>
        <v/>
      </c>
    </row>
    <row r="135">
      <c r="A135" s="5" t="n">
        <v>46084</v>
      </c>
      <c r="B135" s="6" t="n">
        <v>50133</v>
      </c>
      <c r="C135" s="6" t="inlineStr">
        <is>
          <t>C109</t>
        </is>
      </c>
      <c r="D135" s="6" t="inlineStr">
        <is>
          <t>P07</t>
        </is>
      </c>
      <c r="E135" s="6" t="n">
        <v>12</v>
      </c>
      <c r="F135" s="7" t="n">
        <v>95</v>
      </c>
      <c r="G135" s="6">
        <f>IFERROR(INDEX('לקוחות'!$B:$B,MATCH(C135,'לקוחות'!$A:$A,0)),"לא נמצא")</f>
        <v/>
      </c>
      <c r="H135" s="7">
        <f>E135*F135</f>
        <v/>
      </c>
      <c r="I135" s="6">
        <f>MONTH(A135)</f>
        <v/>
      </c>
      <c r="J135" s="7">
        <f>INDEX('מוצרים'!$D:$D,MATCH(D135,'מוצרים'!$A:$A,0))</f>
        <v/>
      </c>
      <c r="K135" s="7">
        <f>(F135-J135)*E135</f>
        <v/>
      </c>
      <c r="L135" s="6">
        <f>IF(COUNTIF($B:$B,B135)&gt;1,"כפולה","")</f>
        <v/>
      </c>
    </row>
    <row r="136">
      <c r="A136" s="5" t="n">
        <v>46084</v>
      </c>
      <c r="B136" s="6" t="n">
        <v>50134</v>
      </c>
      <c r="C136" s="6" t="inlineStr">
        <is>
          <t>C103</t>
        </is>
      </c>
      <c r="D136" s="6" t="inlineStr">
        <is>
          <t>P06</t>
        </is>
      </c>
      <c r="E136" s="6" t="n">
        <v>4</v>
      </c>
      <c r="F136" s="7" t="n">
        <v>63</v>
      </c>
      <c r="G136" s="6">
        <f>IFERROR(INDEX('לקוחות'!$B:$B,MATCH(C136,'לקוחות'!$A:$A,0)),"לא נמצא")</f>
        <v/>
      </c>
      <c r="H136" s="7">
        <f>E136*F136</f>
        <v/>
      </c>
      <c r="I136" s="6">
        <f>MONTH(A136)</f>
        <v/>
      </c>
      <c r="J136" s="7">
        <f>INDEX('מוצרים'!$D:$D,MATCH(D136,'מוצרים'!$A:$A,0))</f>
        <v/>
      </c>
      <c r="K136" s="7">
        <f>(F136-J136)*E136</f>
        <v/>
      </c>
      <c r="L136" s="6">
        <f>IF(COUNTIF($B:$B,B136)&gt;1,"כפולה","")</f>
        <v/>
      </c>
    </row>
    <row r="137">
      <c r="A137" s="5" t="n">
        <v>46085</v>
      </c>
      <c r="B137" s="6" t="n">
        <v>50135</v>
      </c>
      <c r="C137" s="6" t="inlineStr">
        <is>
          <t>C107</t>
        </is>
      </c>
      <c r="D137" s="6" t="inlineStr">
        <is>
          <t>P07</t>
        </is>
      </c>
      <c r="E137" s="6" t="n">
        <v>13</v>
      </c>
      <c r="F137" s="7" t="n">
        <v>95</v>
      </c>
      <c r="G137" s="6">
        <f>IFERROR(INDEX('לקוחות'!$B:$B,MATCH(C137,'לקוחות'!$A:$A,0)),"לא נמצא")</f>
        <v/>
      </c>
      <c r="H137" s="7">
        <f>E137*F137</f>
        <v/>
      </c>
      <c r="I137" s="6">
        <f>MONTH(A137)</f>
        <v/>
      </c>
      <c r="J137" s="7">
        <f>INDEX('מוצרים'!$D:$D,MATCH(D137,'מוצרים'!$A:$A,0))</f>
        <v/>
      </c>
      <c r="K137" s="7">
        <f>(F137-J137)*E137</f>
        <v/>
      </c>
      <c r="L137" s="6">
        <f>IF(COUNTIF($B:$B,B137)&gt;1,"כפולה","")</f>
        <v/>
      </c>
    </row>
    <row r="138">
      <c r="A138" s="5" t="n">
        <v>46086</v>
      </c>
      <c r="B138" s="6" t="n">
        <v>50136</v>
      </c>
      <c r="C138" s="6" t="inlineStr">
        <is>
          <t>C103</t>
        </is>
      </c>
      <c r="D138" s="6" t="inlineStr">
        <is>
          <t>P02</t>
        </is>
      </c>
      <c r="E138" s="6" t="n">
        <v>22</v>
      </c>
      <c r="F138" s="7" t="n">
        <v>99</v>
      </c>
      <c r="G138" s="6">
        <f>IFERROR(INDEX('לקוחות'!$B:$B,MATCH(C138,'לקוחות'!$A:$A,0)),"לא נמצא")</f>
        <v/>
      </c>
      <c r="H138" s="7">
        <f>E138*F138</f>
        <v/>
      </c>
      <c r="I138" s="6">
        <f>MONTH(A138)</f>
        <v/>
      </c>
      <c r="J138" s="7">
        <f>INDEX('מוצרים'!$D:$D,MATCH(D138,'מוצרים'!$A:$A,0))</f>
        <v/>
      </c>
      <c r="K138" s="7">
        <f>(F138-J138)*E138</f>
        <v/>
      </c>
      <c r="L138" s="6">
        <f>IF(COUNTIF($B:$B,B138)&gt;1,"כפולה","")</f>
        <v/>
      </c>
    </row>
    <row r="139">
      <c r="A139" s="5" t="n">
        <v>46087</v>
      </c>
      <c r="B139" s="6" t="n">
        <v>50137</v>
      </c>
      <c r="C139" s="6" t="inlineStr">
        <is>
          <t>C100</t>
        </is>
      </c>
      <c r="D139" s="6" t="inlineStr">
        <is>
          <t>P02</t>
        </is>
      </c>
      <c r="E139" s="6" t="n">
        <v>28</v>
      </c>
      <c r="F139" s="7" t="n">
        <v>110</v>
      </c>
      <c r="G139" s="6">
        <f>IFERROR(INDEX('לקוחות'!$B:$B,MATCH(C139,'לקוחות'!$A:$A,0)),"לא נמצא")</f>
        <v/>
      </c>
      <c r="H139" s="7">
        <f>E139*F139</f>
        <v/>
      </c>
      <c r="I139" s="6">
        <f>MONTH(A139)</f>
        <v/>
      </c>
      <c r="J139" s="7">
        <f>INDEX('מוצרים'!$D:$D,MATCH(D139,'מוצרים'!$A:$A,0))</f>
        <v/>
      </c>
      <c r="K139" s="7">
        <f>(F139-J139)*E139</f>
        <v/>
      </c>
      <c r="L139" s="6">
        <f>IF(COUNTIF($B:$B,B139)&gt;1,"כפולה","")</f>
        <v/>
      </c>
    </row>
    <row r="140">
      <c r="A140" s="5" t="n">
        <v>46087</v>
      </c>
      <c r="B140" s="6" t="n">
        <v>50138</v>
      </c>
      <c r="C140" s="6" t="inlineStr">
        <is>
          <t>C105</t>
        </is>
      </c>
      <c r="D140" s="6" t="inlineStr">
        <is>
          <t>P02</t>
        </is>
      </c>
      <c r="E140" s="6" t="n">
        <v>26</v>
      </c>
      <c r="F140" s="7" t="n">
        <v>110</v>
      </c>
      <c r="G140" s="6">
        <f>IFERROR(INDEX('לקוחות'!$B:$B,MATCH(C140,'לקוחות'!$A:$A,0)),"לא נמצא")</f>
        <v/>
      </c>
      <c r="H140" s="7">
        <f>E140*F140</f>
        <v/>
      </c>
      <c r="I140" s="6">
        <f>MONTH(A140)</f>
        <v/>
      </c>
      <c r="J140" s="7">
        <f>INDEX('מוצרים'!$D:$D,MATCH(D140,'מוצרים'!$A:$A,0))</f>
        <v/>
      </c>
      <c r="K140" s="7">
        <f>(F140-J140)*E140</f>
        <v/>
      </c>
      <c r="L140" s="6">
        <f>IF(COUNTIF($B:$B,B140)&gt;1,"כפולה","")</f>
        <v/>
      </c>
    </row>
    <row r="141">
      <c r="A141" s="5" t="n">
        <v>46088</v>
      </c>
      <c r="B141" s="6" t="n">
        <v>50139</v>
      </c>
      <c r="C141" s="6" t="inlineStr">
        <is>
          <t>C103</t>
        </is>
      </c>
      <c r="D141" s="6" t="inlineStr">
        <is>
          <t>P03</t>
        </is>
      </c>
      <c r="E141" s="6" t="n">
        <v>39</v>
      </c>
      <c r="F141" s="7" t="n">
        <v>13</v>
      </c>
      <c r="G141" s="6">
        <f>IFERROR(INDEX('לקוחות'!$B:$B,MATCH(C141,'לקוחות'!$A:$A,0)),"לא נמצא")</f>
        <v/>
      </c>
      <c r="H141" s="7">
        <f>E141*F141</f>
        <v/>
      </c>
      <c r="I141" s="6">
        <f>MONTH(A141)</f>
        <v/>
      </c>
      <c r="J141" s="7">
        <f>INDEX('מוצרים'!$D:$D,MATCH(D141,'מוצרים'!$A:$A,0))</f>
        <v/>
      </c>
      <c r="K141" s="7">
        <f>(F141-J141)*E141</f>
        <v/>
      </c>
      <c r="L141" s="6">
        <f>IF(COUNTIF($B:$B,B141)&gt;1,"כפולה","")</f>
        <v/>
      </c>
    </row>
    <row r="142">
      <c r="A142" s="5" t="n">
        <v>46089</v>
      </c>
      <c r="B142" s="6" t="n">
        <v>50140</v>
      </c>
      <c r="C142" s="6" t="inlineStr">
        <is>
          <t>C102</t>
        </is>
      </c>
      <c r="D142" s="6" t="inlineStr">
        <is>
          <t>P05</t>
        </is>
      </c>
      <c r="E142" s="6" t="n">
        <v>3</v>
      </c>
      <c r="F142" s="7" t="n">
        <v>150</v>
      </c>
      <c r="G142" s="6">
        <f>IFERROR(INDEX('לקוחות'!$B:$B,MATCH(C142,'לקוחות'!$A:$A,0)),"לא נמצא")</f>
        <v/>
      </c>
      <c r="H142" s="7">
        <f>E142*F142</f>
        <v/>
      </c>
      <c r="I142" s="6">
        <f>MONTH(A142)</f>
        <v/>
      </c>
      <c r="J142" s="7">
        <f>INDEX('מוצרים'!$D:$D,MATCH(D142,'מוצרים'!$A:$A,0))</f>
        <v/>
      </c>
      <c r="K142" s="7">
        <f>(F142-J142)*E142</f>
        <v/>
      </c>
      <c r="L142" s="6">
        <f>IF(COUNTIF($B:$B,B142)&gt;1,"כפולה","")</f>
        <v/>
      </c>
    </row>
    <row r="143">
      <c r="A143" s="5" t="n">
        <v>46089</v>
      </c>
      <c r="B143" s="6" t="n">
        <v>50141</v>
      </c>
      <c r="C143" s="6" t="inlineStr">
        <is>
          <t>C105</t>
        </is>
      </c>
      <c r="D143" s="6" t="inlineStr">
        <is>
          <t>P05</t>
        </is>
      </c>
      <c r="E143" s="6" t="n">
        <v>39</v>
      </c>
      <c r="F143" s="7" t="n">
        <v>150</v>
      </c>
      <c r="G143" s="6">
        <f>IFERROR(INDEX('לקוחות'!$B:$B,MATCH(C143,'לקוחות'!$A:$A,0)),"לא נמצא")</f>
        <v/>
      </c>
      <c r="H143" s="7">
        <f>E143*F143</f>
        <v/>
      </c>
      <c r="I143" s="6">
        <f>MONTH(A143)</f>
        <v/>
      </c>
      <c r="J143" s="7">
        <f>INDEX('מוצרים'!$D:$D,MATCH(D143,'מוצרים'!$A:$A,0))</f>
        <v/>
      </c>
      <c r="K143" s="7">
        <f>(F143-J143)*E143</f>
        <v/>
      </c>
      <c r="L143" s="6">
        <f>IF(COUNTIF($B:$B,B143)&gt;1,"כפולה","")</f>
        <v/>
      </c>
    </row>
    <row r="144">
      <c r="A144" s="5" t="n">
        <v>46090</v>
      </c>
      <c r="B144" s="6" t="n">
        <v>50142</v>
      </c>
      <c r="C144" s="6" t="inlineStr">
        <is>
          <t>C102</t>
        </is>
      </c>
      <c r="D144" s="6" t="inlineStr">
        <is>
          <t>P08</t>
        </is>
      </c>
      <c r="E144" s="6" t="n">
        <v>36</v>
      </c>
      <c r="F144" s="7" t="n">
        <v>199</v>
      </c>
      <c r="G144" s="6">
        <f>IFERROR(INDEX('לקוחות'!$B:$B,MATCH(C144,'לקוחות'!$A:$A,0)),"לא נמצא")</f>
        <v/>
      </c>
      <c r="H144" s="7">
        <f>E144*F144</f>
        <v/>
      </c>
      <c r="I144" s="6">
        <f>MONTH(A144)</f>
        <v/>
      </c>
      <c r="J144" s="7">
        <f>INDEX('מוצרים'!$D:$D,MATCH(D144,'מוצרים'!$A:$A,0))</f>
        <v/>
      </c>
      <c r="K144" s="7">
        <f>(F144-J144)*E144</f>
        <v/>
      </c>
      <c r="L144" s="6">
        <f>IF(COUNTIF($B:$B,B144)&gt;1,"כפולה","")</f>
        <v/>
      </c>
    </row>
    <row r="145">
      <c r="A145" s="5" t="n">
        <v>46090</v>
      </c>
      <c r="B145" s="6" t="n">
        <v>50143</v>
      </c>
      <c r="C145" s="6" t="inlineStr">
        <is>
          <t>C101</t>
        </is>
      </c>
      <c r="D145" s="6" t="inlineStr">
        <is>
          <t>P03</t>
        </is>
      </c>
      <c r="E145" s="6" t="n">
        <v>16</v>
      </c>
      <c r="F145" s="7" t="n">
        <v>13</v>
      </c>
      <c r="G145" s="6">
        <f>IFERROR(INDEX('לקוחות'!$B:$B,MATCH(C145,'לקוחות'!$A:$A,0)),"לא נמצא")</f>
        <v/>
      </c>
      <c r="H145" s="7">
        <f>E145*F145</f>
        <v/>
      </c>
      <c r="I145" s="6">
        <f>MONTH(A145)</f>
        <v/>
      </c>
      <c r="J145" s="7">
        <f>INDEX('מוצרים'!$D:$D,MATCH(D145,'מוצרים'!$A:$A,0))</f>
        <v/>
      </c>
      <c r="K145" s="7">
        <f>(F145-J145)*E145</f>
        <v/>
      </c>
      <c r="L145" s="6">
        <f>IF(COUNTIF($B:$B,B145)&gt;1,"כפולה","")</f>
        <v/>
      </c>
    </row>
    <row r="146">
      <c r="A146" s="5" t="n">
        <v>46090</v>
      </c>
      <c r="B146" s="6" t="n">
        <v>50144</v>
      </c>
      <c r="C146" s="6" t="inlineStr">
        <is>
          <t>C109</t>
        </is>
      </c>
      <c r="D146" s="6" t="inlineStr">
        <is>
          <t>P04</t>
        </is>
      </c>
      <c r="E146" s="6" t="n">
        <v>28</v>
      </c>
      <c r="F146" s="7" t="n">
        <v>32</v>
      </c>
      <c r="G146" s="6">
        <f>IFERROR(INDEX('לקוחות'!$B:$B,MATCH(C146,'לקוחות'!$A:$A,0)),"לא נמצא")</f>
        <v/>
      </c>
      <c r="H146" s="7">
        <f>E146*F146</f>
        <v/>
      </c>
      <c r="I146" s="6">
        <f>MONTH(A146)</f>
        <v/>
      </c>
      <c r="J146" s="7">
        <f>INDEX('מוצרים'!$D:$D,MATCH(D146,'מוצרים'!$A:$A,0))</f>
        <v/>
      </c>
      <c r="K146" s="7">
        <f>(F146-J146)*E146</f>
        <v/>
      </c>
      <c r="L146" s="6">
        <f>IF(COUNTIF($B:$B,B146)&gt;1,"כפולה","")</f>
        <v/>
      </c>
    </row>
    <row r="147">
      <c r="A147" s="5" t="n">
        <v>46090</v>
      </c>
      <c r="B147" s="6" t="n">
        <v>50145</v>
      </c>
      <c r="C147" s="6" t="inlineStr">
        <is>
          <t>C105</t>
        </is>
      </c>
      <c r="D147" s="6" t="inlineStr">
        <is>
          <t>P07</t>
        </is>
      </c>
      <c r="E147" s="6" t="n">
        <v>6</v>
      </c>
      <c r="F147" s="7" t="n">
        <v>95</v>
      </c>
      <c r="G147" s="6">
        <f>IFERROR(INDEX('לקוחות'!$B:$B,MATCH(C147,'לקוחות'!$A:$A,0)),"לא נמצא")</f>
        <v/>
      </c>
      <c r="H147" s="7">
        <f>E147*F147</f>
        <v/>
      </c>
      <c r="I147" s="6">
        <f>MONTH(A147)</f>
        <v/>
      </c>
      <c r="J147" s="7">
        <f>INDEX('מוצרים'!$D:$D,MATCH(D147,'מוצרים'!$A:$A,0))</f>
        <v/>
      </c>
      <c r="K147" s="7">
        <f>(F147-J147)*E147</f>
        <v/>
      </c>
      <c r="L147" s="6">
        <f>IF(COUNTIF($B:$B,B147)&gt;1,"כפולה","")</f>
        <v/>
      </c>
    </row>
    <row r="148">
      <c r="A148" s="5" t="n">
        <v>46091</v>
      </c>
      <c r="B148" s="6" t="n">
        <v>50146</v>
      </c>
      <c r="C148" s="6" t="inlineStr">
        <is>
          <t>C101</t>
        </is>
      </c>
      <c r="D148" s="6" t="inlineStr">
        <is>
          <t>P03</t>
        </is>
      </c>
      <c r="E148" s="6" t="n">
        <v>35</v>
      </c>
      <c r="F148" s="7" t="n">
        <v>13</v>
      </c>
      <c r="G148" s="6">
        <f>IFERROR(INDEX('לקוחות'!$B:$B,MATCH(C148,'לקוחות'!$A:$A,0)),"לא נמצא")</f>
        <v/>
      </c>
      <c r="H148" s="7">
        <f>E148*F148</f>
        <v/>
      </c>
      <c r="I148" s="6">
        <f>MONTH(A148)</f>
        <v/>
      </c>
      <c r="J148" s="7">
        <f>INDEX('מוצרים'!$D:$D,MATCH(D148,'מוצרים'!$A:$A,0))</f>
        <v/>
      </c>
      <c r="K148" s="7">
        <f>(F148-J148)*E148</f>
        <v/>
      </c>
      <c r="L148" s="6">
        <f>IF(COUNTIF($B:$B,B148)&gt;1,"כפולה","")</f>
        <v/>
      </c>
    </row>
    <row r="149">
      <c r="A149" s="5" t="n">
        <v>46092</v>
      </c>
      <c r="B149" s="6" t="n">
        <v>50147</v>
      </c>
      <c r="C149" s="6" t="inlineStr">
        <is>
          <t>C104</t>
        </is>
      </c>
      <c r="D149" s="6" t="inlineStr">
        <is>
          <t>P05</t>
        </is>
      </c>
      <c r="E149" s="6" t="n">
        <v>15</v>
      </c>
      <c r="F149" s="7" t="n">
        <v>150</v>
      </c>
      <c r="G149" s="6">
        <f>IFERROR(INDEX('לקוחות'!$B:$B,MATCH(C149,'לקוחות'!$A:$A,0)),"לא נמצא")</f>
        <v/>
      </c>
      <c r="H149" s="7">
        <f>E149*F149</f>
        <v/>
      </c>
      <c r="I149" s="6">
        <f>MONTH(A149)</f>
        <v/>
      </c>
      <c r="J149" s="7">
        <f>INDEX('מוצרים'!$D:$D,MATCH(D149,'מוצרים'!$A:$A,0))</f>
        <v/>
      </c>
      <c r="K149" s="7">
        <f>(F149-J149)*E149</f>
        <v/>
      </c>
      <c r="L149" s="6">
        <f>IF(COUNTIF($B:$B,B149)&gt;1,"כפולה","")</f>
        <v/>
      </c>
    </row>
    <row r="150">
      <c r="A150" s="5" t="n">
        <v>46093</v>
      </c>
      <c r="B150" s="6" t="n">
        <v>50148</v>
      </c>
      <c r="C150" s="6" t="inlineStr">
        <is>
          <t>C108</t>
        </is>
      </c>
      <c r="D150" s="6" t="inlineStr">
        <is>
          <t>P08</t>
        </is>
      </c>
      <c r="E150" s="6" t="n">
        <v>16</v>
      </c>
      <c r="F150" s="7" t="n">
        <v>199</v>
      </c>
      <c r="G150" s="6">
        <f>IFERROR(INDEX('לקוחות'!$B:$B,MATCH(C150,'לקוחות'!$A:$A,0)),"לא נמצא")</f>
        <v/>
      </c>
      <c r="H150" s="7">
        <f>E150*F150</f>
        <v/>
      </c>
      <c r="I150" s="6">
        <f>MONTH(A150)</f>
        <v/>
      </c>
      <c r="J150" s="7">
        <f>INDEX('מוצרים'!$D:$D,MATCH(D150,'מוצרים'!$A:$A,0))</f>
        <v/>
      </c>
      <c r="K150" s="7">
        <f>(F150-J150)*E150</f>
        <v/>
      </c>
      <c r="L150" s="6">
        <f>IF(COUNTIF($B:$B,B150)&gt;1,"כפולה","")</f>
        <v/>
      </c>
    </row>
    <row r="151">
      <c r="A151" s="5" t="n">
        <v>46093</v>
      </c>
      <c r="B151" s="6" t="n">
        <v>50149</v>
      </c>
      <c r="C151" s="6" t="inlineStr">
        <is>
          <t>C108</t>
        </is>
      </c>
      <c r="D151" s="6" t="inlineStr">
        <is>
          <t>P01</t>
        </is>
      </c>
      <c r="E151" s="6" t="n">
        <v>34</v>
      </c>
      <c r="F151" s="7" t="n">
        <v>85</v>
      </c>
      <c r="G151" s="6">
        <f>IFERROR(INDEX('לקוחות'!$B:$B,MATCH(C151,'לקוחות'!$A:$A,0)),"לא נמצא")</f>
        <v/>
      </c>
      <c r="H151" s="7">
        <f>E151*F151</f>
        <v/>
      </c>
      <c r="I151" s="6">
        <f>MONTH(A151)</f>
        <v/>
      </c>
      <c r="J151" s="7">
        <f>INDEX('מוצרים'!$D:$D,MATCH(D151,'מוצרים'!$A:$A,0))</f>
        <v/>
      </c>
      <c r="K151" s="7">
        <f>(F151-J151)*E151</f>
        <v/>
      </c>
      <c r="L151" s="6">
        <f>IF(COUNTIF($B:$B,B151)&gt;1,"כפולה","")</f>
        <v/>
      </c>
    </row>
    <row r="152">
      <c r="A152" s="5" t="n">
        <v>46093</v>
      </c>
      <c r="B152" s="6" t="n">
        <v>50150</v>
      </c>
      <c r="C152" s="6" t="inlineStr">
        <is>
          <t>C109</t>
        </is>
      </c>
      <c r="D152" s="6" t="inlineStr">
        <is>
          <t>P05</t>
        </is>
      </c>
      <c r="E152" s="6" t="n">
        <v>7</v>
      </c>
      <c r="F152" s="7" t="n">
        <v>150</v>
      </c>
      <c r="G152" s="6">
        <f>IFERROR(INDEX('לקוחות'!$B:$B,MATCH(C152,'לקוחות'!$A:$A,0)),"לא נמצא")</f>
        <v/>
      </c>
      <c r="H152" s="7">
        <f>E152*F152</f>
        <v/>
      </c>
      <c r="I152" s="6">
        <f>MONTH(A152)</f>
        <v/>
      </c>
      <c r="J152" s="7">
        <f>INDEX('מוצרים'!$D:$D,MATCH(D152,'מוצרים'!$A:$A,0))</f>
        <v/>
      </c>
      <c r="K152" s="7">
        <f>(F152-J152)*E152</f>
        <v/>
      </c>
      <c r="L152" s="6">
        <f>IF(COUNTIF($B:$B,B152)&gt;1,"כפולה","")</f>
        <v/>
      </c>
    </row>
    <row r="153">
      <c r="A153" s="5" t="n">
        <v>46094</v>
      </c>
      <c r="B153" s="6" t="n">
        <v>50151</v>
      </c>
      <c r="C153" s="6" t="inlineStr">
        <is>
          <t>C101</t>
        </is>
      </c>
      <c r="D153" s="6" t="inlineStr">
        <is>
          <t>P05</t>
        </is>
      </c>
      <c r="E153" s="6" t="n">
        <v>23</v>
      </c>
      <c r="F153" s="7" t="n">
        <v>150</v>
      </c>
      <c r="G153" s="6">
        <f>IFERROR(INDEX('לקוחות'!$B:$B,MATCH(C153,'לקוחות'!$A:$A,0)),"לא נמצא")</f>
        <v/>
      </c>
      <c r="H153" s="7">
        <f>E153*F153</f>
        <v/>
      </c>
      <c r="I153" s="6">
        <f>MONTH(A153)</f>
        <v/>
      </c>
      <c r="J153" s="7">
        <f>INDEX('מוצרים'!$D:$D,MATCH(D153,'מוצרים'!$A:$A,0))</f>
        <v/>
      </c>
      <c r="K153" s="7">
        <f>(F153-J153)*E153</f>
        <v/>
      </c>
      <c r="L153" s="6">
        <f>IF(COUNTIF($B:$B,B153)&gt;1,"כפולה","")</f>
        <v/>
      </c>
    </row>
    <row r="154">
      <c r="A154" s="5" t="n">
        <v>46094</v>
      </c>
      <c r="B154" s="6" t="n">
        <v>50152</v>
      </c>
      <c r="C154" s="6" t="inlineStr">
        <is>
          <t>C100</t>
        </is>
      </c>
      <c r="D154" s="6" t="inlineStr">
        <is>
          <t>P06</t>
        </is>
      </c>
      <c r="E154" s="6" t="n">
        <v>14</v>
      </c>
      <c r="F154" s="7" t="n">
        <v>70</v>
      </c>
      <c r="G154" s="6">
        <f>IFERROR(INDEX('לקוחות'!$B:$B,MATCH(C154,'לקוחות'!$A:$A,0)),"לא נמצא")</f>
        <v/>
      </c>
      <c r="H154" s="7">
        <f>E154*F154</f>
        <v/>
      </c>
      <c r="I154" s="6">
        <f>MONTH(A154)</f>
        <v/>
      </c>
      <c r="J154" s="7">
        <f>INDEX('מוצרים'!$D:$D,MATCH(D154,'מוצרים'!$A:$A,0))</f>
        <v/>
      </c>
      <c r="K154" s="7">
        <f>(F154-J154)*E154</f>
        <v/>
      </c>
      <c r="L154" s="6">
        <f>IF(COUNTIF($B:$B,B154)&gt;1,"כפולה","")</f>
        <v/>
      </c>
    </row>
    <row r="155">
      <c r="A155" s="5" t="n">
        <v>46094</v>
      </c>
      <c r="B155" s="6" t="n">
        <v>50153</v>
      </c>
      <c r="C155" s="6" t="inlineStr">
        <is>
          <t>C109</t>
        </is>
      </c>
      <c r="D155" s="6" t="inlineStr">
        <is>
          <t>P04</t>
        </is>
      </c>
      <c r="E155" s="6" t="n">
        <v>28</v>
      </c>
      <c r="F155" s="7" t="n">
        <v>32</v>
      </c>
      <c r="G155" s="6">
        <f>IFERROR(INDEX('לקוחות'!$B:$B,MATCH(C155,'לקוחות'!$A:$A,0)),"לא נמצא")</f>
        <v/>
      </c>
      <c r="H155" s="7">
        <f>E155*F155</f>
        <v/>
      </c>
      <c r="I155" s="6">
        <f>MONTH(A155)</f>
        <v/>
      </c>
      <c r="J155" s="7">
        <f>INDEX('מוצרים'!$D:$D,MATCH(D155,'מוצרים'!$A:$A,0))</f>
        <v/>
      </c>
      <c r="K155" s="7">
        <f>(F155-J155)*E155</f>
        <v/>
      </c>
      <c r="L155" s="6">
        <f>IF(COUNTIF($B:$B,B155)&gt;1,"כפולה","")</f>
        <v/>
      </c>
    </row>
    <row r="156">
      <c r="A156" s="5" t="n">
        <v>46095</v>
      </c>
      <c r="B156" s="6" t="n">
        <v>50154</v>
      </c>
      <c r="C156" s="6" t="inlineStr">
        <is>
          <t>C108</t>
        </is>
      </c>
      <c r="D156" s="6" t="inlineStr">
        <is>
          <t>P06</t>
        </is>
      </c>
      <c r="E156" s="6" t="n">
        <v>6</v>
      </c>
      <c r="F156" s="7" t="n">
        <v>70</v>
      </c>
      <c r="G156" s="6">
        <f>IFERROR(INDEX('לקוחות'!$B:$B,MATCH(C156,'לקוחות'!$A:$A,0)),"לא נמצא")</f>
        <v/>
      </c>
      <c r="H156" s="7">
        <f>E156*F156</f>
        <v/>
      </c>
      <c r="I156" s="6">
        <f>MONTH(A156)</f>
        <v/>
      </c>
      <c r="J156" s="7">
        <f>INDEX('מוצרים'!$D:$D,MATCH(D156,'מוצרים'!$A:$A,0))</f>
        <v/>
      </c>
      <c r="K156" s="7">
        <f>(F156-J156)*E156</f>
        <v/>
      </c>
      <c r="L156" s="6">
        <f>IF(COUNTIF($B:$B,B156)&gt;1,"כפולה","")</f>
        <v/>
      </c>
    </row>
    <row r="157">
      <c r="A157" s="5" t="n">
        <v>46095</v>
      </c>
      <c r="B157" s="6" t="n">
        <v>50155</v>
      </c>
      <c r="C157" s="6" t="inlineStr">
        <is>
          <t>C106</t>
        </is>
      </c>
      <c r="D157" s="6" t="inlineStr">
        <is>
          <t>P07</t>
        </is>
      </c>
      <c r="E157" s="6" t="n">
        <v>22</v>
      </c>
      <c r="F157" s="7" t="n">
        <v>95</v>
      </c>
      <c r="G157" s="6">
        <f>IFERROR(INDEX('לקוחות'!$B:$B,MATCH(C157,'לקוחות'!$A:$A,0)),"לא נמצא")</f>
        <v/>
      </c>
      <c r="H157" s="7">
        <f>E157*F157</f>
        <v/>
      </c>
      <c r="I157" s="6">
        <f>MONTH(A157)</f>
        <v/>
      </c>
      <c r="J157" s="7">
        <f>INDEX('מוצרים'!$D:$D,MATCH(D157,'מוצרים'!$A:$A,0))</f>
        <v/>
      </c>
      <c r="K157" s="7">
        <f>(F157-J157)*E157</f>
        <v/>
      </c>
      <c r="L157" s="6">
        <f>IF(COUNTIF($B:$B,B157)&gt;1,"כפולה","")</f>
        <v/>
      </c>
    </row>
    <row r="158">
      <c r="A158" s="5" t="n">
        <v>46095</v>
      </c>
      <c r="B158" s="6" t="n">
        <v>50156</v>
      </c>
      <c r="C158" s="6" t="inlineStr">
        <is>
          <t>C101</t>
        </is>
      </c>
      <c r="D158" s="6" t="inlineStr">
        <is>
          <t>P03</t>
        </is>
      </c>
      <c r="E158" s="6" t="n">
        <v>18</v>
      </c>
      <c r="F158" s="7" t="n">
        <v>13</v>
      </c>
      <c r="G158" s="6">
        <f>IFERROR(INDEX('לקוחות'!$B:$B,MATCH(C158,'לקוחות'!$A:$A,0)),"לא נמצא")</f>
        <v/>
      </c>
      <c r="H158" s="7">
        <f>E158*F158</f>
        <v/>
      </c>
      <c r="I158" s="6">
        <f>MONTH(A158)</f>
        <v/>
      </c>
      <c r="J158" s="7">
        <f>INDEX('מוצרים'!$D:$D,MATCH(D158,'מוצרים'!$A:$A,0))</f>
        <v/>
      </c>
      <c r="K158" s="7">
        <f>(F158-J158)*E158</f>
        <v/>
      </c>
      <c r="L158" s="6">
        <f>IF(COUNTIF($B:$B,B158)&gt;1,"כפולה","")</f>
        <v/>
      </c>
    </row>
    <row r="159">
      <c r="A159" s="5" t="n">
        <v>46097</v>
      </c>
      <c r="B159" s="6" t="n">
        <v>50157</v>
      </c>
      <c r="C159" s="6" t="inlineStr">
        <is>
          <t>C108</t>
        </is>
      </c>
      <c r="D159" s="6" t="inlineStr">
        <is>
          <t>P05</t>
        </is>
      </c>
      <c r="E159" s="6" t="n">
        <v>27</v>
      </c>
      <c r="F159" s="7" t="n">
        <v>150</v>
      </c>
      <c r="G159" s="6">
        <f>IFERROR(INDEX('לקוחות'!$B:$B,MATCH(C159,'לקוחות'!$A:$A,0)),"לא נמצא")</f>
        <v/>
      </c>
      <c r="H159" s="7">
        <f>E159*F159</f>
        <v/>
      </c>
      <c r="I159" s="6">
        <f>MONTH(A159)</f>
        <v/>
      </c>
      <c r="J159" s="7">
        <f>INDEX('מוצרים'!$D:$D,MATCH(D159,'מוצרים'!$A:$A,0))</f>
        <v/>
      </c>
      <c r="K159" s="7">
        <f>(F159-J159)*E159</f>
        <v/>
      </c>
      <c r="L159" s="6">
        <f>IF(COUNTIF($B:$B,B159)&gt;1,"כפולה","")</f>
        <v/>
      </c>
    </row>
    <row r="160">
      <c r="A160" s="5" t="n">
        <v>46097</v>
      </c>
      <c r="B160" s="6" t="n">
        <v>50158</v>
      </c>
      <c r="C160" s="6" t="inlineStr">
        <is>
          <t>C105</t>
        </is>
      </c>
      <c r="D160" s="6" t="inlineStr">
        <is>
          <t>P02</t>
        </is>
      </c>
      <c r="E160" s="6" t="n">
        <v>1</v>
      </c>
      <c r="F160" s="7" t="n">
        <v>110</v>
      </c>
      <c r="G160" s="6">
        <f>IFERROR(INDEX('לקוחות'!$B:$B,MATCH(C160,'לקוחות'!$A:$A,0)),"לא נמצא")</f>
        <v/>
      </c>
      <c r="H160" s="7">
        <f>E160*F160</f>
        <v/>
      </c>
      <c r="I160" s="6">
        <f>MONTH(A160)</f>
        <v/>
      </c>
      <c r="J160" s="7">
        <f>INDEX('מוצרים'!$D:$D,MATCH(D160,'מוצרים'!$A:$A,0))</f>
        <v/>
      </c>
      <c r="K160" s="7">
        <f>(F160-J160)*E160</f>
        <v/>
      </c>
      <c r="L160" s="6">
        <f>IF(COUNTIF($B:$B,B160)&gt;1,"כפולה","")</f>
        <v/>
      </c>
    </row>
    <row r="161">
      <c r="A161" s="5" t="n">
        <v>46098</v>
      </c>
      <c r="B161" s="6" t="n">
        <v>50159</v>
      </c>
      <c r="C161" s="6" t="inlineStr">
        <is>
          <t>C103</t>
        </is>
      </c>
      <c r="D161" s="6" t="inlineStr">
        <is>
          <t>P06</t>
        </is>
      </c>
      <c r="E161" s="6" t="n">
        <v>12</v>
      </c>
      <c r="F161" s="7" t="n">
        <v>70</v>
      </c>
      <c r="G161" s="6">
        <f>IFERROR(INDEX('לקוחות'!$B:$B,MATCH(C161,'לקוחות'!$A:$A,0)),"לא נמצא")</f>
        <v/>
      </c>
      <c r="H161" s="7">
        <f>E161*F161</f>
        <v/>
      </c>
      <c r="I161" s="6">
        <f>MONTH(A161)</f>
        <v/>
      </c>
      <c r="J161" s="7">
        <f>INDEX('מוצרים'!$D:$D,MATCH(D161,'מוצרים'!$A:$A,0))</f>
        <v/>
      </c>
      <c r="K161" s="7">
        <f>(F161-J161)*E161</f>
        <v/>
      </c>
      <c r="L161" s="6">
        <f>IF(COUNTIF($B:$B,B161)&gt;1,"כפולה","")</f>
        <v/>
      </c>
    </row>
    <row r="162">
      <c r="A162" s="5" t="n">
        <v>46099</v>
      </c>
      <c r="B162" s="6" t="n">
        <v>50160</v>
      </c>
      <c r="C162" s="6" t="inlineStr">
        <is>
          <t>C108</t>
        </is>
      </c>
      <c r="D162" s="6" t="inlineStr">
        <is>
          <t>P05</t>
        </is>
      </c>
      <c r="E162" s="6" t="n">
        <v>27</v>
      </c>
      <c r="F162" s="7" t="n">
        <v>150</v>
      </c>
      <c r="G162" s="6">
        <f>IFERROR(INDEX('לקוחות'!$B:$B,MATCH(C162,'לקוחות'!$A:$A,0)),"לא נמצא")</f>
        <v/>
      </c>
      <c r="H162" s="7">
        <f>E162*F162</f>
        <v/>
      </c>
      <c r="I162" s="6">
        <f>MONTH(A162)</f>
        <v/>
      </c>
      <c r="J162" s="7">
        <f>INDEX('מוצרים'!$D:$D,MATCH(D162,'מוצרים'!$A:$A,0))</f>
        <v/>
      </c>
      <c r="K162" s="7">
        <f>(F162-J162)*E162</f>
        <v/>
      </c>
      <c r="L162" s="6">
        <f>IF(COUNTIF($B:$B,B162)&gt;1,"כפולה","")</f>
        <v/>
      </c>
    </row>
    <row r="163">
      <c r="A163" s="5" t="n">
        <v>46099</v>
      </c>
      <c r="B163" s="6" t="n">
        <v>50161</v>
      </c>
      <c r="C163" s="6" t="inlineStr">
        <is>
          <t>C109</t>
        </is>
      </c>
      <c r="D163" s="6" t="inlineStr">
        <is>
          <t>P08</t>
        </is>
      </c>
      <c r="E163" s="6" t="n">
        <v>10</v>
      </c>
      <c r="F163" s="7" t="n">
        <v>199</v>
      </c>
      <c r="G163" s="6">
        <f>IFERROR(INDEX('לקוחות'!$B:$B,MATCH(C163,'לקוחות'!$A:$A,0)),"לא נמצא")</f>
        <v/>
      </c>
      <c r="H163" s="7">
        <f>E163*F163</f>
        <v/>
      </c>
      <c r="I163" s="6">
        <f>MONTH(A163)</f>
        <v/>
      </c>
      <c r="J163" s="7">
        <f>INDEX('מוצרים'!$D:$D,MATCH(D163,'מוצרים'!$A:$A,0))</f>
        <v/>
      </c>
      <c r="K163" s="7">
        <f>(F163-J163)*E163</f>
        <v/>
      </c>
      <c r="L163" s="6">
        <f>IF(COUNTIF($B:$B,B163)&gt;1,"כפולה","")</f>
        <v/>
      </c>
    </row>
    <row r="164">
      <c r="A164" s="5" t="n">
        <v>46099</v>
      </c>
      <c r="B164" s="6" t="n">
        <v>50162</v>
      </c>
      <c r="C164" s="6" t="inlineStr">
        <is>
          <t>C106</t>
        </is>
      </c>
      <c r="D164" s="6" t="inlineStr">
        <is>
          <t>P05</t>
        </is>
      </c>
      <c r="E164" s="6" t="n">
        <v>30</v>
      </c>
      <c r="F164" s="7" t="n">
        <v>150</v>
      </c>
      <c r="G164" s="6">
        <f>IFERROR(INDEX('לקוחות'!$B:$B,MATCH(C164,'לקוחות'!$A:$A,0)),"לא נמצא")</f>
        <v/>
      </c>
      <c r="H164" s="7">
        <f>E164*F164</f>
        <v/>
      </c>
      <c r="I164" s="6">
        <f>MONTH(A164)</f>
        <v/>
      </c>
      <c r="J164" s="7">
        <f>INDEX('מוצרים'!$D:$D,MATCH(D164,'מוצרים'!$A:$A,0))</f>
        <v/>
      </c>
      <c r="K164" s="7">
        <f>(F164-J164)*E164</f>
        <v/>
      </c>
      <c r="L164" s="6">
        <f>IF(COUNTIF($B:$B,B164)&gt;1,"כפולה","")</f>
        <v/>
      </c>
    </row>
    <row r="165">
      <c r="A165" s="5" t="n">
        <v>46100</v>
      </c>
      <c r="B165" s="6" t="n">
        <v>50163</v>
      </c>
      <c r="C165" s="6" t="inlineStr">
        <is>
          <t>C101</t>
        </is>
      </c>
      <c r="D165" s="6" t="inlineStr">
        <is>
          <t>P04</t>
        </is>
      </c>
      <c r="E165" s="6" t="n">
        <v>8</v>
      </c>
      <c r="F165" s="7" t="n">
        <v>32</v>
      </c>
      <c r="G165" s="6">
        <f>IFERROR(INDEX('לקוחות'!$B:$B,MATCH(C165,'לקוחות'!$A:$A,0)),"לא נמצא")</f>
        <v/>
      </c>
      <c r="H165" s="7">
        <f>E165*F165</f>
        <v/>
      </c>
      <c r="I165" s="6">
        <f>MONTH(A165)</f>
        <v/>
      </c>
      <c r="J165" s="7">
        <f>INDEX('מוצרים'!$D:$D,MATCH(D165,'מוצרים'!$A:$A,0))</f>
        <v/>
      </c>
      <c r="K165" s="7">
        <f>(F165-J165)*E165</f>
        <v/>
      </c>
      <c r="L165" s="6">
        <f>IF(COUNTIF($B:$B,B165)&gt;1,"כפולה","")</f>
        <v/>
      </c>
    </row>
    <row r="166">
      <c r="A166" s="5" t="n">
        <v>46101</v>
      </c>
      <c r="B166" s="6" t="n">
        <v>50164</v>
      </c>
      <c r="C166" s="6" t="inlineStr">
        <is>
          <t>C109</t>
        </is>
      </c>
      <c r="D166" s="6" t="inlineStr">
        <is>
          <t>P06</t>
        </is>
      </c>
      <c r="E166" s="6" t="n">
        <v>31</v>
      </c>
      <c r="F166" s="7" t="n">
        <v>70</v>
      </c>
      <c r="G166" s="6">
        <f>IFERROR(INDEX('לקוחות'!$B:$B,MATCH(C166,'לקוחות'!$A:$A,0)),"לא נמצא")</f>
        <v/>
      </c>
      <c r="H166" s="7">
        <f>E166*F166</f>
        <v/>
      </c>
      <c r="I166" s="6">
        <f>MONTH(A166)</f>
        <v/>
      </c>
      <c r="J166" s="7">
        <f>INDEX('מוצרים'!$D:$D,MATCH(D166,'מוצרים'!$A:$A,0))</f>
        <v/>
      </c>
      <c r="K166" s="7">
        <f>(F166-J166)*E166</f>
        <v/>
      </c>
      <c r="L166" s="6">
        <f>IF(COUNTIF($B:$B,B166)&gt;1,"כפולה","")</f>
        <v/>
      </c>
    </row>
    <row r="167">
      <c r="A167" s="5" t="n">
        <v>46102</v>
      </c>
      <c r="B167" s="6" t="n">
        <v>50165</v>
      </c>
      <c r="C167" s="6" t="inlineStr">
        <is>
          <t>C105</t>
        </is>
      </c>
      <c r="D167" s="6" t="inlineStr">
        <is>
          <t>P06</t>
        </is>
      </c>
      <c r="E167" s="6" t="n">
        <v>1</v>
      </c>
      <c r="F167" s="7" t="n">
        <v>70</v>
      </c>
      <c r="G167" s="6">
        <f>IFERROR(INDEX('לקוחות'!$B:$B,MATCH(C167,'לקוחות'!$A:$A,0)),"לא נמצא")</f>
        <v/>
      </c>
      <c r="H167" s="7">
        <f>E167*F167</f>
        <v/>
      </c>
      <c r="I167" s="6">
        <f>MONTH(A167)</f>
        <v/>
      </c>
      <c r="J167" s="7">
        <f>INDEX('מוצרים'!$D:$D,MATCH(D167,'מוצרים'!$A:$A,0))</f>
        <v/>
      </c>
      <c r="K167" s="7">
        <f>(F167-J167)*E167</f>
        <v/>
      </c>
      <c r="L167" s="6">
        <f>IF(COUNTIF($B:$B,B167)&gt;1,"כפולה","")</f>
        <v/>
      </c>
    </row>
    <row r="168">
      <c r="A168" s="5" t="n">
        <v>46103</v>
      </c>
      <c r="B168" s="6" t="n">
        <v>50166</v>
      </c>
      <c r="C168" s="6" t="inlineStr">
        <is>
          <t>C103</t>
        </is>
      </c>
      <c r="D168" s="6" t="inlineStr">
        <is>
          <t>P05</t>
        </is>
      </c>
      <c r="E168" s="6" t="n">
        <v>26</v>
      </c>
      <c r="F168" s="7" t="n">
        <v>150</v>
      </c>
      <c r="G168" s="6">
        <f>IFERROR(INDEX('לקוחות'!$B:$B,MATCH(C168,'לקוחות'!$A:$A,0)),"לא נמצא")</f>
        <v/>
      </c>
      <c r="H168" s="7">
        <f>E168*F168</f>
        <v/>
      </c>
      <c r="I168" s="6">
        <f>MONTH(A168)</f>
        <v/>
      </c>
      <c r="J168" s="7">
        <f>INDEX('מוצרים'!$D:$D,MATCH(D168,'מוצרים'!$A:$A,0))</f>
        <v/>
      </c>
      <c r="K168" s="7">
        <f>(F168-J168)*E168</f>
        <v/>
      </c>
      <c r="L168" s="6">
        <f>IF(COUNTIF($B:$B,B168)&gt;1,"כפולה","")</f>
        <v/>
      </c>
    </row>
    <row r="169">
      <c r="A169" s="5" t="n">
        <v>46103</v>
      </c>
      <c r="B169" s="6" t="n">
        <v>50167</v>
      </c>
      <c r="C169" s="6" t="inlineStr">
        <is>
          <t>C109</t>
        </is>
      </c>
      <c r="D169" s="6" t="inlineStr">
        <is>
          <t>P07</t>
        </is>
      </c>
      <c r="E169" s="6" t="n">
        <v>37</v>
      </c>
      <c r="F169" s="7" t="n">
        <v>95</v>
      </c>
      <c r="G169" s="6">
        <f>IFERROR(INDEX('לקוחות'!$B:$B,MATCH(C169,'לקוחות'!$A:$A,0)),"לא נמצא")</f>
        <v/>
      </c>
      <c r="H169" s="7">
        <f>E169*F169</f>
        <v/>
      </c>
      <c r="I169" s="6">
        <f>MONTH(A169)</f>
        <v/>
      </c>
      <c r="J169" s="7">
        <f>INDEX('מוצרים'!$D:$D,MATCH(D169,'מוצרים'!$A:$A,0))</f>
        <v/>
      </c>
      <c r="K169" s="7">
        <f>(F169-J169)*E169</f>
        <v/>
      </c>
      <c r="L169" s="6">
        <f>IF(COUNTIF($B:$B,B169)&gt;1,"כפולה","")</f>
        <v/>
      </c>
    </row>
    <row r="170">
      <c r="A170" s="5" t="n">
        <v>46104</v>
      </c>
      <c r="B170" s="6" t="n">
        <v>50168</v>
      </c>
      <c r="C170" s="6" t="inlineStr">
        <is>
          <t>C105</t>
        </is>
      </c>
      <c r="D170" s="6" t="inlineStr">
        <is>
          <t>P07</t>
        </is>
      </c>
      <c r="E170" s="6" t="n">
        <v>9</v>
      </c>
      <c r="F170" s="7" t="n">
        <v>95</v>
      </c>
      <c r="G170" s="6">
        <f>IFERROR(INDEX('לקוחות'!$B:$B,MATCH(C170,'לקוחות'!$A:$A,0)),"לא נמצא")</f>
        <v/>
      </c>
      <c r="H170" s="7">
        <f>E170*F170</f>
        <v/>
      </c>
      <c r="I170" s="6">
        <f>MONTH(A170)</f>
        <v/>
      </c>
      <c r="J170" s="7">
        <f>INDEX('מוצרים'!$D:$D,MATCH(D170,'מוצרים'!$A:$A,0))</f>
        <v/>
      </c>
      <c r="K170" s="7">
        <f>(F170-J170)*E170</f>
        <v/>
      </c>
      <c r="L170" s="6">
        <f>IF(COUNTIF($B:$B,B170)&gt;1,"כפולה","")</f>
        <v/>
      </c>
    </row>
    <row r="171">
      <c r="A171" s="5" t="n">
        <v>46105</v>
      </c>
      <c r="B171" s="6" t="n">
        <v>50169</v>
      </c>
      <c r="C171" s="6" t="inlineStr">
        <is>
          <t>C109</t>
        </is>
      </c>
      <c r="D171" s="6" t="inlineStr">
        <is>
          <t>P03</t>
        </is>
      </c>
      <c r="E171" s="6" t="n">
        <v>5</v>
      </c>
      <c r="F171" s="7" t="n">
        <v>13</v>
      </c>
      <c r="G171" s="6">
        <f>IFERROR(INDEX('לקוחות'!$B:$B,MATCH(C171,'לקוחות'!$A:$A,0)),"לא נמצא")</f>
        <v/>
      </c>
      <c r="H171" s="7">
        <f>E171*F171</f>
        <v/>
      </c>
      <c r="I171" s="6">
        <f>MONTH(A171)</f>
        <v/>
      </c>
      <c r="J171" s="7">
        <f>INDEX('מוצרים'!$D:$D,MATCH(D171,'מוצרים'!$A:$A,0))</f>
        <v/>
      </c>
      <c r="K171" s="7">
        <f>(F171-J171)*E171</f>
        <v/>
      </c>
      <c r="L171" s="6">
        <f>IF(COUNTIF($B:$B,B171)&gt;1,"כפולה","")</f>
        <v/>
      </c>
    </row>
    <row r="172">
      <c r="A172" s="5" t="n">
        <v>46105</v>
      </c>
      <c r="B172" s="6" t="n">
        <v>50170</v>
      </c>
      <c r="C172" s="6" t="inlineStr">
        <is>
          <t>C103</t>
        </is>
      </c>
      <c r="D172" s="6" t="inlineStr">
        <is>
          <t>P06</t>
        </is>
      </c>
      <c r="E172" s="6" t="n">
        <v>34</v>
      </c>
      <c r="F172" s="7" t="n">
        <v>70</v>
      </c>
      <c r="G172" s="6">
        <f>IFERROR(INDEX('לקוחות'!$B:$B,MATCH(C172,'לקוחות'!$A:$A,0)),"לא נמצא")</f>
        <v/>
      </c>
      <c r="H172" s="7">
        <f>E172*F172</f>
        <v/>
      </c>
      <c r="I172" s="6">
        <f>MONTH(A172)</f>
        <v/>
      </c>
      <c r="J172" s="7">
        <f>INDEX('מוצרים'!$D:$D,MATCH(D172,'מוצרים'!$A:$A,0))</f>
        <v/>
      </c>
      <c r="K172" s="7">
        <f>(F172-J172)*E172</f>
        <v/>
      </c>
      <c r="L172" s="6">
        <f>IF(COUNTIF($B:$B,B172)&gt;1,"כפולה","")</f>
        <v/>
      </c>
    </row>
    <row r="173">
      <c r="A173" s="5" t="n">
        <v>46106</v>
      </c>
      <c r="B173" s="6" t="n">
        <v>50171</v>
      </c>
      <c r="C173" s="6" t="inlineStr">
        <is>
          <t>C102</t>
        </is>
      </c>
      <c r="D173" s="6" t="inlineStr">
        <is>
          <t>P08</t>
        </is>
      </c>
      <c r="E173" s="6" t="n">
        <v>14</v>
      </c>
      <c r="F173" s="7" t="n">
        <v>199</v>
      </c>
      <c r="G173" s="6">
        <f>IFERROR(INDEX('לקוחות'!$B:$B,MATCH(C173,'לקוחות'!$A:$A,0)),"לא נמצא")</f>
        <v/>
      </c>
      <c r="H173" s="7">
        <f>E173*F173</f>
        <v/>
      </c>
      <c r="I173" s="6">
        <f>MONTH(A173)</f>
        <v/>
      </c>
      <c r="J173" s="7">
        <f>INDEX('מוצרים'!$D:$D,MATCH(D173,'מוצרים'!$A:$A,0))</f>
        <v/>
      </c>
      <c r="K173" s="7">
        <f>(F173-J173)*E173</f>
        <v/>
      </c>
      <c r="L173" s="6">
        <f>IF(COUNTIF($B:$B,B173)&gt;1,"כפולה","")</f>
        <v/>
      </c>
    </row>
    <row r="174">
      <c r="A174" s="5" t="n">
        <v>46106</v>
      </c>
      <c r="B174" s="6" t="n">
        <v>50172</v>
      </c>
      <c r="C174" s="6" t="inlineStr">
        <is>
          <t>C109</t>
        </is>
      </c>
      <c r="D174" s="6" t="inlineStr">
        <is>
          <t>P02</t>
        </is>
      </c>
      <c r="E174" s="6" t="n">
        <v>4</v>
      </c>
      <c r="F174" s="7" t="n">
        <v>110</v>
      </c>
      <c r="G174" s="6">
        <f>IFERROR(INDEX('לקוחות'!$B:$B,MATCH(C174,'לקוחות'!$A:$A,0)),"לא נמצא")</f>
        <v/>
      </c>
      <c r="H174" s="7">
        <f>E174*F174</f>
        <v/>
      </c>
      <c r="I174" s="6">
        <f>MONTH(A174)</f>
        <v/>
      </c>
      <c r="J174" s="7">
        <f>INDEX('מוצרים'!$D:$D,MATCH(D174,'מוצרים'!$A:$A,0))</f>
        <v/>
      </c>
      <c r="K174" s="7">
        <f>(F174-J174)*E174</f>
        <v/>
      </c>
      <c r="L174" s="6">
        <f>IF(COUNTIF($B:$B,B174)&gt;1,"כפולה","")</f>
        <v/>
      </c>
    </row>
    <row r="175">
      <c r="A175" s="5" t="n">
        <v>46106</v>
      </c>
      <c r="B175" s="6" t="n">
        <v>50173</v>
      </c>
      <c r="C175" s="6" t="inlineStr">
        <is>
          <t>C102</t>
        </is>
      </c>
      <c r="D175" s="6" t="inlineStr">
        <is>
          <t>P08</t>
        </is>
      </c>
      <c r="E175" s="6" t="n">
        <v>24</v>
      </c>
      <c r="F175" s="7" t="n">
        <v>199</v>
      </c>
      <c r="G175" s="6">
        <f>IFERROR(INDEX('לקוחות'!$B:$B,MATCH(C175,'לקוחות'!$A:$A,0)),"לא נמצא")</f>
        <v/>
      </c>
      <c r="H175" s="7">
        <f>E175*F175</f>
        <v/>
      </c>
      <c r="I175" s="6">
        <f>MONTH(A175)</f>
        <v/>
      </c>
      <c r="J175" s="7">
        <f>INDEX('מוצרים'!$D:$D,MATCH(D175,'מוצרים'!$A:$A,0))</f>
        <v/>
      </c>
      <c r="K175" s="7">
        <f>(F175-J175)*E175</f>
        <v/>
      </c>
      <c r="L175" s="6">
        <f>IF(COUNTIF($B:$B,B175)&gt;1,"כפולה","")</f>
        <v/>
      </c>
    </row>
    <row r="176">
      <c r="A176" s="5" t="n">
        <v>46106</v>
      </c>
      <c r="B176" s="6" t="n">
        <v>50174</v>
      </c>
      <c r="C176" s="6" t="inlineStr">
        <is>
          <t>C104</t>
        </is>
      </c>
      <c r="D176" s="6" t="inlineStr">
        <is>
          <t>P05</t>
        </is>
      </c>
      <c r="E176" s="6" t="n">
        <v>29</v>
      </c>
      <c r="F176" s="7" t="n">
        <v>150</v>
      </c>
      <c r="G176" s="6">
        <f>IFERROR(INDEX('לקוחות'!$B:$B,MATCH(C176,'לקוחות'!$A:$A,0)),"לא נמצא")</f>
        <v/>
      </c>
      <c r="H176" s="7">
        <f>E176*F176</f>
        <v/>
      </c>
      <c r="I176" s="6">
        <f>MONTH(A176)</f>
        <v/>
      </c>
      <c r="J176" s="7">
        <f>INDEX('מוצרים'!$D:$D,MATCH(D176,'מוצרים'!$A:$A,0))</f>
        <v/>
      </c>
      <c r="K176" s="7">
        <f>(F176-J176)*E176</f>
        <v/>
      </c>
      <c r="L176" s="6">
        <f>IF(COUNTIF($B:$B,B176)&gt;1,"כפולה","")</f>
        <v/>
      </c>
    </row>
    <row r="177">
      <c r="A177" s="5" t="n">
        <v>46107</v>
      </c>
      <c r="B177" s="6" t="n">
        <v>50175</v>
      </c>
      <c r="C177" s="6" t="inlineStr">
        <is>
          <t>C101</t>
        </is>
      </c>
      <c r="D177" s="6" t="inlineStr">
        <is>
          <t>P04</t>
        </is>
      </c>
      <c r="E177" s="6" t="n">
        <v>18</v>
      </c>
      <c r="F177" s="7" t="n">
        <v>32</v>
      </c>
      <c r="G177" s="6">
        <f>IFERROR(INDEX('לקוחות'!$B:$B,MATCH(C177,'לקוחות'!$A:$A,0)),"לא נמצא")</f>
        <v/>
      </c>
      <c r="H177" s="7">
        <f>E177*F177</f>
        <v/>
      </c>
      <c r="I177" s="6">
        <f>MONTH(A177)</f>
        <v/>
      </c>
      <c r="J177" s="7">
        <f>INDEX('מוצרים'!$D:$D,MATCH(D177,'מוצרים'!$A:$A,0))</f>
        <v/>
      </c>
      <c r="K177" s="7">
        <f>(F177-J177)*E177</f>
        <v/>
      </c>
      <c r="L177" s="6">
        <f>IF(COUNTIF($B:$B,B177)&gt;1,"כפולה","")</f>
        <v/>
      </c>
    </row>
    <row r="178">
      <c r="A178" s="5" t="n">
        <v>46107</v>
      </c>
      <c r="B178" s="6" t="n">
        <v>50176</v>
      </c>
      <c r="C178" s="6" t="inlineStr">
        <is>
          <t>C108</t>
        </is>
      </c>
      <c r="D178" s="6" t="inlineStr">
        <is>
          <t>P08</t>
        </is>
      </c>
      <c r="E178" s="6" t="n">
        <v>27</v>
      </c>
      <c r="F178" s="7" t="n">
        <v>179</v>
      </c>
      <c r="G178" s="6">
        <f>IFERROR(INDEX('לקוחות'!$B:$B,MATCH(C178,'לקוחות'!$A:$A,0)),"לא נמצא")</f>
        <v/>
      </c>
      <c r="H178" s="7">
        <f>E178*F178</f>
        <v/>
      </c>
      <c r="I178" s="6">
        <f>MONTH(A178)</f>
        <v/>
      </c>
      <c r="J178" s="7">
        <f>INDEX('מוצרים'!$D:$D,MATCH(D178,'מוצרים'!$A:$A,0))</f>
        <v/>
      </c>
      <c r="K178" s="7">
        <f>(F178-J178)*E178</f>
        <v/>
      </c>
      <c r="L178" s="6">
        <f>IF(COUNTIF($B:$B,B178)&gt;1,"כפולה","")</f>
        <v/>
      </c>
    </row>
    <row r="179">
      <c r="A179" s="5" t="n">
        <v>46107</v>
      </c>
      <c r="B179" s="6" t="n">
        <v>50177</v>
      </c>
      <c r="C179" s="6" t="inlineStr">
        <is>
          <t>C106</t>
        </is>
      </c>
      <c r="D179" s="6" t="inlineStr">
        <is>
          <t>P08</t>
        </is>
      </c>
      <c r="E179" s="6" t="n">
        <v>19</v>
      </c>
      <c r="F179" s="7" t="n">
        <v>199</v>
      </c>
      <c r="G179" s="6">
        <f>IFERROR(INDEX('לקוחות'!$B:$B,MATCH(C179,'לקוחות'!$A:$A,0)),"לא נמצא")</f>
        <v/>
      </c>
      <c r="H179" s="7">
        <f>E179*F179</f>
        <v/>
      </c>
      <c r="I179" s="6">
        <f>MONTH(A179)</f>
        <v/>
      </c>
      <c r="J179" s="7">
        <f>INDEX('מוצרים'!$D:$D,MATCH(D179,'מוצרים'!$A:$A,0))</f>
        <v/>
      </c>
      <c r="K179" s="7">
        <f>(F179-J179)*E179</f>
        <v/>
      </c>
      <c r="L179" s="6">
        <f>IF(COUNTIF($B:$B,B179)&gt;1,"כפולה","")</f>
        <v/>
      </c>
    </row>
    <row r="180">
      <c r="A180" s="5" t="n">
        <v>46107</v>
      </c>
      <c r="B180" s="6" t="n">
        <v>50178</v>
      </c>
      <c r="C180" s="6" t="inlineStr">
        <is>
          <t>C104</t>
        </is>
      </c>
      <c r="D180" s="6" t="inlineStr">
        <is>
          <t>P02</t>
        </is>
      </c>
      <c r="E180" s="6" t="n">
        <v>24</v>
      </c>
      <c r="F180" s="7" t="n">
        <v>110</v>
      </c>
      <c r="G180" s="6">
        <f>IFERROR(INDEX('לקוחות'!$B:$B,MATCH(C180,'לקוחות'!$A:$A,0)),"לא נמצא")</f>
        <v/>
      </c>
      <c r="H180" s="7">
        <f>E180*F180</f>
        <v/>
      </c>
      <c r="I180" s="6">
        <f>MONTH(A180)</f>
        <v/>
      </c>
      <c r="J180" s="7">
        <f>INDEX('מוצרים'!$D:$D,MATCH(D180,'מוצרים'!$A:$A,0))</f>
        <v/>
      </c>
      <c r="K180" s="7">
        <f>(F180-J180)*E180</f>
        <v/>
      </c>
      <c r="L180" s="6">
        <f>IF(COUNTIF($B:$B,B180)&gt;1,"כפולה","")</f>
        <v/>
      </c>
    </row>
    <row r="181">
      <c r="A181" s="5" t="n">
        <v>46108</v>
      </c>
      <c r="B181" s="6" t="n">
        <v>50179</v>
      </c>
      <c r="C181" s="6" t="inlineStr">
        <is>
          <t>C106</t>
        </is>
      </c>
      <c r="D181" s="6" t="inlineStr">
        <is>
          <t>P04</t>
        </is>
      </c>
      <c r="E181" s="6" t="n">
        <v>18</v>
      </c>
      <c r="F181" s="7" t="n">
        <v>32</v>
      </c>
      <c r="G181" s="6">
        <f>IFERROR(INDEX('לקוחות'!$B:$B,MATCH(C181,'לקוחות'!$A:$A,0)),"לא נמצא")</f>
        <v/>
      </c>
      <c r="H181" s="7">
        <f>E181*F181</f>
        <v/>
      </c>
      <c r="I181" s="6">
        <f>MONTH(A181)</f>
        <v/>
      </c>
      <c r="J181" s="7">
        <f>INDEX('מוצרים'!$D:$D,MATCH(D181,'מוצרים'!$A:$A,0))</f>
        <v/>
      </c>
      <c r="K181" s="7">
        <f>(F181-J181)*E181</f>
        <v/>
      </c>
      <c r="L181" s="6">
        <f>IF(COUNTIF($B:$B,B181)&gt;1,"כפולה","")</f>
        <v/>
      </c>
    </row>
    <row r="182">
      <c r="A182" s="5" t="n">
        <v>46109</v>
      </c>
      <c r="B182" s="6" t="n">
        <v>50180</v>
      </c>
      <c r="C182" s="6" t="inlineStr">
        <is>
          <t>C101</t>
        </is>
      </c>
      <c r="D182" s="6" t="inlineStr">
        <is>
          <t>P02</t>
        </is>
      </c>
      <c r="E182" s="6" t="n">
        <v>25</v>
      </c>
      <c r="F182" s="7" t="n">
        <v>110</v>
      </c>
      <c r="G182" s="6">
        <f>IFERROR(INDEX('לקוחות'!$B:$B,MATCH(C182,'לקוחות'!$A:$A,0)),"לא נמצא")</f>
        <v/>
      </c>
      <c r="H182" s="7">
        <f>E182*F182</f>
        <v/>
      </c>
      <c r="I182" s="6">
        <f>MONTH(A182)</f>
        <v/>
      </c>
      <c r="J182" s="7">
        <f>INDEX('מוצרים'!$D:$D,MATCH(D182,'מוצרים'!$A:$A,0))</f>
        <v/>
      </c>
      <c r="K182" s="7">
        <f>(F182-J182)*E182</f>
        <v/>
      </c>
      <c r="L182" s="6">
        <f>IF(COUNTIF($B:$B,B182)&gt;1,"כפולה","")</f>
        <v/>
      </c>
    </row>
    <row r="183">
      <c r="A183" s="5" t="n">
        <v>46110</v>
      </c>
      <c r="B183" s="6" t="n">
        <v>50181</v>
      </c>
      <c r="C183" s="6" t="inlineStr">
        <is>
          <t>C102</t>
        </is>
      </c>
      <c r="D183" s="6" t="inlineStr">
        <is>
          <t>P01</t>
        </is>
      </c>
      <c r="E183" s="6" t="n">
        <v>17</v>
      </c>
      <c r="F183" s="7" t="n">
        <v>85</v>
      </c>
      <c r="G183" s="6">
        <f>IFERROR(INDEX('לקוחות'!$B:$B,MATCH(C183,'לקוחות'!$A:$A,0)),"לא נמצא")</f>
        <v/>
      </c>
      <c r="H183" s="7">
        <f>E183*F183</f>
        <v/>
      </c>
      <c r="I183" s="6">
        <f>MONTH(A183)</f>
        <v/>
      </c>
      <c r="J183" s="7">
        <f>INDEX('מוצרים'!$D:$D,MATCH(D183,'מוצרים'!$A:$A,0))</f>
        <v/>
      </c>
      <c r="K183" s="7">
        <f>(F183-J183)*E183</f>
        <v/>
      </c>
      <c r="L183" s="6">
        <f>IF(COUNTIF($B:$B,B183)&gt;1,"כפולה","")</f>
        <v/>
      </c>
    </row>
    <row r="184">
      <c r="A184" s="5" t="n">
        <v>46110</v>
      </c>
      <c r="B184" s="6" t="n">
        <v>50182</v>
      </c>
      <c r="C184" s="6" t="inlineStr">
        <is>
          <t>C101</t>
        </is>
      </c>
      <c r="D184" s="6" t="inlineStr">
        <is>
          <t>P03</t>
        </is>
      </c>
      <c r="E184" s="6" t="n">
        <v>3</v>
      </c>
      <c r="F184" s="7" t="n">
        <v>13</v>
      </c>
      <c r="G184" s="6">
        <f>IFERROR(INDEX('לקוחות'!$B:$B,MATCH(C184,'לקוחות'!$A:$A,0)),"לא נמצא")</f>
        <v/>
      </c>
      <c r="H184" s="7">
        <f>E184*F184</f>
        <v/>
      </c>
      <c r="I184" s="6">
        <f>MONTH(A184)</f>
        <v/>
      </c>
      <c r="J184" s="7">
        <f>INDEX('מוצרים'!$D:$D,MATCH(D184,'מוצרים'!$A:$A,0))</f>
        <v/>
      </c>
      <c r="K184" s="7">
        <f>(F184-J184)*E184</f>
        <v/>
      </c>
      <c r="L184" s="6">
        <f>IF(COUNTIF($B:$B,B184)&gt;1,"כפולה","")</f>
        <v/>
      </c>
    </row>
    <row r="185">
      <c r="A185" s="5" t="n">
        <v>46110</v>
      </c>
      <c r="B185" s="6" t="n">
        <v>50183</v>
      </c>
      <c r="C185" s="6" t="inlineStr">
        <is>
          <t>C107</t>
        </is>
      </c>
      <c r="D185" s="6" t="inlineStr">
        <is>
          <t>P04</t>
        </is>
      </c>
      <c r="E185" s="6" t="n">
        <v>15</v>
      </c>
      <c r="F185" s="7" t="n">
        <v>32</v>
      </c>
      <c r="G185" s="6">
        <f>IFERROR(INDEX('לקוחות'!$B:$B,MATCH(C185,'לקוחות'!$A:$A,0)),"לא נמצא")</f>
        <v/>
      </c>
      <c r="H185" s="7">
        <f>E185*F185</f>
        <v/>
      </c>
      <c r="I185" s="6">
        <f>MONTH(A185)</f>
        <v/>
      </c>
      <c r="J185" s="7">
        <f>INDEX('מוצרים'!$D:$D,MATCH(D185,'מוצרים'!$A:$A,0))</f>
        <v/>
      </c>
      <c r="K185" s="7">
        <f>(F185-J185)*E185</f>
        <v/>
      </c>
      <c r="L185" s="6">
        <f>IF(COUNTIF($B:$B,B185)&gt;1,"כפולה","")</f>
        <v/>
      </c>
    </row>
    <row r="186">
      <c r="A186" s="5" t="n">
        <v>46111</v>
      </c>
      <c r="B186" s="6" t="n">
        <v>50184</v>
      </c>
      <c r="C186" s="6" t="inlineStr">
        <is>
          <t>C109</t>
        </is>
      </c>
      <c r="D186" s="6" t="inlineStr">
        <is>
          <t>P05</t>
        </is>
      </c>
      <c r="E186" s="6" t="n">
        <v>3</v>
      </c>
      <c r="F186" s="7" t="n">
        <v>150</v>
      </c>
      <c r="G186" s="6">
        <f>IFERROR(INDEX('לקוחות'!$B:$B,MATCH(C186,'לקוחות'!$A:$A,0)),"לא נמצא")</f>
        <v/>
      </c>
      <c r="H186" s="7">
        <f>E186*F186</f>
        <v/>
      </c>
      <c r="I186" s="6">
        <f>MONTH(A186)</f>
        <v/>
      </c>
      <c r="J186" s="7">
        <f>INDEX('מוצרים'!$D:$D,MATCH(D186,'מוצרים'!$A:$A,0))</f>
        <v/>
      </c>
      <c r="K186" s="7">
        <f>(F186-J186)*E186</f>
        <v/>
      </c>
      <c r="L186" s="6">
        <f>IF(COUNTIF($B:$B,B186)&gt;1,"כפולה","")</f>
        <v/>
      </c>
    </row>
    <row r="187">
      <c r="A187" s="5" t="n">
        <v>46111</v>
      </c>
      <c r="B187" s="6" t="n">
        <v>50185</v>
      </c>
      <c r="C187" s="6" t="inlineStr">
        <is>
          <t>C106</t>
        </is>
      </c>
      <c r="D187" s="6" t="inlineStr">
        <is>
          <t>P06</t>
        </is>
      </c>
      <c r="E187" s="6" t="n">
        <v>23</v>
      </c>
      <c r="F187" s="7" t="n">
        <v>70</v>
      </c>
      <c r="G187" s="6">
        <f>IFERROR(INDEX('לקוחות'!$B:$B,MATCH(C187,'לקוחות'!$A:$A,0)),"לא נמצא")</f>
        <v/>
      </c>
      <c r="H187" s="7">
        <f>E187*F187</f>
        <v/>
      </c>
      <c r="I187" s="6">
        <f>MONTH(A187)</f>
        <v/>
      </c>
      <c r="J187" s="7">
        <f>INDEX('מוצרים'!$D:$D,MATCH(D187,'מוצרים'!$A:$A,0))</f>
        <v/>
      </c>
      <c r="K187" s="7">
        <f>(F187-J187)*E187</f>
        <v/>
      </c>
      <c r="L187" s="6">
        <f>IF(COUNTIF($B:$B,B187)&gt;1,"כפולה","")</f>
        <v/>
      </c>
    </row>
    <row r="188">
      <c r="A188" s="5" t="n">
        <v>46112</v>
      </c>
      <c r="B188" s="6" t="n">
        <v>50186</v>
      </c>
      <c r="C188" s="6" t="inlineStr">
        <is>
          <t>C101</t>
        </is>
      </c>
      <c r="D188" s="6" t="inlineStr">
        <is>
          <t>P04</t>
        </is>
      </c>
      <c r="E188" s="6" t="n">
        <v>24</v>
      </c>
      <c r="F188" s="7" t="n">
        <v>32</v>
      </c>
      <c r="G188" s="6">
        <f>IFERROR(INDEX('לקוחות'!$B:$B,MATCH(C188,'לקוחות'!$A:$A,0)),"לא נמצא")</f>
        <v/>
      </c>
      <c r="H188" s="7">
        <f>E188*F188</f>
        <v/>
      </c>
      <c r="I188" s="6">
        <f>MONTH(A188)</f>
        <v/>
      </c>
      <c r="J188" s="7">
        <f>INDEX('מוצרים'!$D:$D,MATCH(D188,'מוצרים'!$A:$A,0))</f>
        <v/>
      </c>
      <c r="K188" s="7">
        <f>(F188-J188)*E188</f>
        <v/>
      </c>
      <c r="L188" s="6">
        <f>IF(COUNTIF($B:$B,B188)&gt;1,"כפולה","")</f>
        <v/>
      </c>
    </row>
    <row r="189">
      <c r="A189" s="5" t="n">
        <v>46112</v>
      </c>
      <c r="B189" s="6" t="n">
        <v>50187</v>
      </c>
      <c r="C189" s="6" t="inlineStr">
        <is>
          <t>C105</t>
        </is>
      </c>
      <c r="D189" s="6" t="inlineStr">
        <is>
          <t>P03</t>
        </is>
      </c>
      <c r="E189" s="6" t="n">
        <v>16</v>
      </c>
      <c r="F189" s="7" t="n">
        <v>13</v>
      </c>
      <c r="G189" s="6">
        <f>IFERROR(INDEX('לקוחות'!$B:$B,MATCH(C189,'לקוחות'!$A:$A,0)),"לא נמצא")</f>
        <v/>
      </c>
      <c r="H189" s="7">
        <f>E189*F189</f>
        <v/>
      </c>
      <c r="I189" s="6">
        <f>MONTH(A189)</f>
        <v/>
      </c>
      <c r="J189" s="7">
        <f>INDEX('מוצרים'!$D:$D,MATCH(D189,'מוצרים'!$A:$A,0))</f>
        <v/>
      </c>
      <c r="K189" s="7">
        <f>(F189-J189)*E189</f>
        <v/>
      </c>
      <c r="L189" s="6">
        <f>IF(COUNTIF($B:$B,B189)&gt;1,"כפולה","")</f>
        <v/>
      </c>
    </row>
    <row r="190">
      <c r="A190" s="5" t="n">
        <v>46113</v>
      </c>
      <c r="B190" s="6" t="n">
        <v>50188</v>
      </c>
      <c r="C190" s="6" t="inlineStr">
        <is>
          <t>C108</t>
        </is>
      </c>
      <c r="D190" s="6" t="inlineStr">
        <is>
          <t>P07</t>
        </is>
      </c>
      <c r="E190" s="6" t="n">
        <v>40</v>
      </c>
      <c r="F190" s="7" t="n">
        <v>95</v>
      </c>
      <c r="G190" s="6">
        <f>IFERROR(INDEX('לקוחות'!$B:$B,MATCH(C190,'לקוחות'!$A:$A,0)),"לא נמצא")</f>
        <v/>
      </c>
      <c r="H190" s="7">
        <f>E190*F190</f>
        <v/>
      </c>
      <c r="I190" s="6">
        <f>MONTH(A190)</f>
        <v/>
      </c>
      <c r="J190" s="7">
        <f>INDEX('מוצרים'!$D:$D,MATCH(D190,'מוצרים'!$A:$A,0))</f>
        <v/>
      </c>
      <c r="K190" s="7">
        <f>(F190-J190)*E190</f>
        <v/>
      </c>
      <c r="L190" s="6">
        <f>IF(COUNTIF($B:$B,B190)&gt;1,"כפולה","")</f>
        <v/>
      </c>
    </row>
    <row r="191">
      <c r="A191" s="5" t="n">
        <v>46113</v>
      </c>
      <c r="B191" s="6" t="n">
        <v>50189</v>
      </c>
      <c r="C191" s="6" t="inlineStr">
        <is>
          <t>C101</t>
        </is>
      </c>
      <c r="D191" s="6" t="inlineStr">
        <is>
          <t>P04</t>
        </is>
      </c>
      <c r="E191" s="6" t="n">
        <v>10</v>
      </c>
      <c r="F191" s="7" t="n">
        <v>32</v>
      </c>
      <c r="G191" s="6">
        <f>IFERROR(INDEX('לקוחות'!$B:$B,MATCH(C191,'לקוחות'!$A:$A,0)),"לא נמצא")</f>
        <v/>
      </c>
      <c r="H191" s="7">
        <f>E191*F191</f>
        <v/>
      </c>
      <c r="I191" s="6">
        <f>MONTH(A191)</f>
        <v/>
      </c>
      <c r="J191" s="7">
        <f>INDEX('מוצרים'!$D:$D,MATCH(D191,'מוצרים'!$A:$A,0))</f>
        <v/>
      </c>
      <c r="K191" s="7">
        <f>(F191-J191)*E191</f>
        <v/>
      </c>
      <c r="L191" s="6">
        <f>IF(COUNTIF($B:$B,B191)&gt;1,"כפולה","")</f>
        <v/>
      </c>
    </row>
    <row r="192">
      <c r="A192" s="5" t="n">
        <v>46113</v>
      </c>
      <c r="B192" s="6" t="n">
        <v>50189</v>
      </c>
      <c r="C192" s="6" t="inlineStr">
        <is>
          <t>C101</t>
        </is>
      </c>
      <c r="D192" s="6" t="inlineStr">
        <is>
          <t>P04</t>
        </is>
      </c>
      <c r="E192" s="6" t="n">
        <v>10</v>
      </c>
      <c r="F192" s="7" t="n">
        <v>32</v>
      </c>
      <c r="G192" s="6">
        <f>IFERROR(INDEX('לקוחות'!$B:$B,MATCH(C192,'לקוחות'!$A:$A,0)),"לא נמצא")</f>
        <v/>
      </c>
      <c r="H192" s="7">
        <f>E192*F192</f>
        <v/>
      </c>
      <c r="I192" s="6">
        <f>MONTH(A192)</f>
        <v/>
      </c>
      <c r="J192" s="7">
        <f>INDEX('מוצרים'!$D:$D,MATCH(D192,'מוצרים'!$A:$A,0))</f>
        <v/>
      </c>
      <c r="K192" s="7">
        <f>(F192-J192)*E192</f>
        <v/>
      </c>
      <c r="L192" s="6">
        <f>IF(COUNTIF($B:$B,B192)&gt;1,"כפולה","")</f>
        <v/>
      </c>
    </row>
    <row r="193">
      <c r="A193" s="5" t="n">
        <v>46113</v>
      </c>
      <c r="B193" s="6" t="n">
        <v>50190</v>
      </c>
      <c r="C193" s="6" t="inlineStr">
        <is>
          <t>C108</t>
        </is>
      </c>
      <c r="D193" s="6" t="inlineStr">
        <is>
          <t>P02</t>
        </is>
      </c>
      <c r="E193" s="6" t="n">
        <v>20</v>
      </c>
      <c r="F193" s="7" t="n">
        <v>110</v>
      </c>
      <c r="G193" s="6">
        <f>IFERROR(INDEX('לקוחות'!$B:$B,MATCH(C193,'לקוחות'!$A:$A,0)),"לא נמצא")</f>
        <v/>
      </c>
      <c r="H193" s="7">
        <f>E193*F193</f>
        <v/>
      </c>
      <c r="I193" s="6">
        <f>MONTH(A193)</f>
        <v/>
      </c>
      <c r="J193" s="7">
        <f>INDEX('מוצרים'!$D:$D,MATCH(D193,'מוצרים'!$A:$A,0))</f>
        <v/>
      </c>
      <c r="K193" s="7">
        <f>(F193-J193)*E193</f>
        <v/>
      </c>
      <c r="L193" s="6">
        <f>IF(COUNTIF($B:$B,B193)&gt;1,"כפולה","")</f>
        <v/>
      </c>
    </row>
    <row r="194">
      <c r="A194" s="5" t="n">
        <v>46113</v>
      </c>
      <c r="B194" s="6" t="n">
        <v>50191</v>
      </c>
      <c r="C194" s="6" t="inlineStr">
        <is>
          <t>C109</t>
        </is>
      </c>
      <c r="D194" s="6" t="inlineStr">
        <is>
          <t>P07</t>
        </is>
      </c>
      <c r="E194" s="6" t="n">
        <v>18</v>
      </c>
      <c r="F194" s="7" t="n">
        <v>95</v>
      </c>
      <c r="G194" s="6">
        <f>IFERROR(INDEX('לקוחות'!$B:$B,MATCH(C194,'לקוחות'!$A:$A,0)),"לא נמצא")</f>
        <v/>
      </c>
      <c r="H194" s="7">
        <f>E194*F194</f>
        <v/>
      </c>
      <c r="I194" s="6">
        <f>MONTH(A194)</f>
        <v/>
      </c>
      <c r="J194" s="7">
        <f>INDEX('מוצרים'!$D:$D,MATCH(D194,'מוצרים'!$A:$A,0))</f>
        <v/>
      </c>
      <c r="K194" s="7">
        <f>(F194-J194)*E194</f>
        <v/>
      </c>
      <c r="L194" s="6">
        <f>IF(COUNTIF($B:$B,B194)&gt;1,"כפולה","")</f>
        <v/>
      </c>
    </row>
    <row r="195">
      <c r="A195" s="5" t="n">
        <v>46114</v>
      </c>
      <c r="B195" s="6" t="n">
        <v>50192</v>
      </c>
      <c r="C195" s="6" t="inlineStr">
        <is>
          <t>C101</t>
        </is>
      </c>
      <c r="D195" s="6" t="inlineStr">
        <is>
          <t>P06</t>
        </is>
      </c>
      <c r="E195" s="6" t="n">
        <v>16</v>
      </c>
      <c r="F195" s="7" t="n">
        <v>70</v>
      </c>
      <c r="G195" s="6">
        <f>IFERROR(INDEX('לקוחות'!$B:$B,MATCH(C195,'לקוחות'!$A:$A,0)),"לא נמצא")</f>
        <v/>
      </c>
      <c r="H195" s="7">
        <f>E195*F195</f>
        <v/>
      </c>
      <c r="I195" s="6">
        <f>MONTH(A195)</f>
        <v/>
      </c>
      <c r="J195" s="7">
        <f>INDEX('מוצרים'!$D:$D,MATCH(D195,'מוצרים'!$A:$A,0))</f>
        <v/>
      </c>
      <c r="K195" s="7">
        <f>(F195-J195)*E195</f>
        <v/>
      </c>
      <c r="L195" s="6">
        <f>IF(COUNTIF($B:$B,B195)&gt;1,"כפולה","")</f>
        <v/>
      </c>
    </row>
    <row r="196">
      <c r="A196" s="5" t="n">
        <v>46115</v>
      </c>
      <c r="B196" s="6" t="n">
        <v>50193</v>
      </c>
      <c r="C196" s="6" t="inlineStr">
        <is>
          <t>C104</t>
        </is>
      </c>
      <c r="D196" s="6" t="inlineStr">
        <is>
          <t>P04</t>
        </is>
      </c>
      <c r="E196" s="6" t="n">
        <v>4</v>
      </c>
      <c r="F196" s="7" t="n">
        <v>32</v>
      </c>
      <c r="G196" s="6">
        <f>IFERROR(INDEX('לקוחות'!$B:$B,MATCH(C196,'לקוחות'!$A:$A,0)),"לא נמצא")</f>
        <v/>
      </c>
      <c r="H196" s="7">
        <f>E196*F196</f>
        <v/>
      </c>
      <c r="I196" s="6">
        <f>MONTH(A196)</f>
        <v/>
      </c>
      <c r="J196" s="7">
        <f>INDEX('מוצרים'!$D:$D,MATCH(D196,'מוצרים'!$A:$A,0))</f>
        <v/>
      </c>
      <c r="K196" s="7">
        <f>(F196-J196)*E196</f>
        <v/>
      </c>
      <c r="L196" s="6">
        <f>IF(COUNTIF($B:$B,B196)&gt;1,"כפולה","")</f>
        <v/>
      </c>
    </row>
    <row r="197">
      <c r="A197" s="5" t="n">
        <v>46115</v>
      </c>
      <c r="B197" s="6" t="n">
        <v>50194</v>
      </c>
      <c r="C197" s="6" t="inlineStr">
        <is>
          <t>C107</t>
        </is>
      </c>
      <c r="D197" s="6" t="inlineStr">
        <is>
          <t>P03</t>
        </is>
      </c>
      <c r="E197" s="6" t="n">
        <v>28</v>
      </c>
      <c r="F197" s="7" t="n">
        <v>13</v>
      </c>
      <c r="G197" s="6">
        <f>IFERROR(INDEX('לקוחות'!$B:$B,MATCH(C197,'לקוחות'!$A:$A,0)),"לא נמצא")</f>
        <v/>
      </c>
      <c r="H197" s="7">
        <f>E197*F197</f>
        <v/>
      </c>
      <c r="I197" s="6">
        <f>MONTH(A197)</f>
        <v/>
      </c>
      <c r="J197" s="7">
        <f>INDEX('מוצרים'!$D:$D,MATCH(D197,'מוצרים'!$A:$A,0))</f>
        <v/>
      </c>
      <c r="K197" s="7">
        <f>(F197-J197)*E197</f>
        <v/>
      </c>
      <c r="L197" s="6">
        <f>IF(COUNTIF($B:$B,B197)&gt;1,"כפולה","")</f>
        <v/>
      </c>
    </row>
    <row r="198">
      <c r="A198" s="5" t="n">
        <v>46116</v>
      </c>
      <c r="B198" s="6" t="n">
        <v>50195</v>
      </c>
      <c r="C198" s="6" t="inlineStr">
        <is>
          <t>C102</t>
        </is>
      </c>
      <c r="D198" s="6" t="inlineStr">
        <is>
          <t>P06</t>
        </is>
      </c>
      <c r="E198" s="6" t="n">
        <v>23</v>
      </c>
      <c r="F198" s="7" t="n">
        <v>70</v>
      </c>
      <c r="G198" s="6">
        <f>IFERROR(INDEX('לקוחות'!$B:$B,MATCH(C198,'לקוחות'!$A:$A,0)),"לא נמצא")</f>
        <v/>
      </c>
      <c r="H198" s="7">
        <f>E198*F198</f>
        <v/>
      </c>
      <c r="I198" s="6">
        <f>MONTH(A198)</f>
        <v/>
      </c>
      <c r="J198" s="7">
        <f>INDEX('מוצרים'!$D:$D,MATCH(D198,'מוצרים'!$A:$A,0))</f>
        <v/>
      </c>
      <c r="K198" s="7">
        <f>(F198-J198)*E198</f>
        <v/>
      </c>
      <c r="L198" s="6">
        <f>IF(COUNTIF($B:$B,B198)&gt;1,"כפולה","")</f>
        <v/>
      </c>
    </row>
    <row r="199">
      <c r="A199" s="5" t="n">
        <v>46116</v>
      </c>
      <c r="B199" s="6" t="n">
        <v>50196</v>
      </c>
      <c r="C199" s="6" t="inlineStr">
        <is>
          <t>C102</t>
        </is>
      </c>
      <c r="D199" s="6" t="inlineStr">
        <is>
          <t>P02</t>
        </is>
      </c>
      <c r="E199" s="6" t="n">
        <v>19</v>
      </c>
      <c r="F199" s="7" t="n">
        <v>110</v>
      </c>
      <c r="G199" s="6">
        <f>IFERROR(INDEX('לקוחות'!$B:$B,MATCH(C199,'לקוחות'!$A:$A,0)),"לא נמצא")</f>
        <v/>
      </c>
      <c r="H199" s="7">
        <f>E199*F199</f>
        <v/>
      </c>
      <c r="I199" s="6">
        <f>MONTH(A199)</f>
        <v/>
      </c>
      <c r="J199" s="7">
        <f>INDEX('מוצרים'!$D:$D,MATCH(D199,'מוצרים'!$A:$A,0))</f>
        <v/>
      </c>
      <c r="K199" s="7">
        <f>(F199-J199)*E199</f>
        <v/>
      </c>
      <c r="L199" s="6">
        <f>IF(COUNTIF($B:$B,B199)&gt;1,"כפולה","")</f>
        <v/>
      </c>
    </row>
    <row r="200">
      <c r="A200" s="5" t="n">
        <v>46116</v>
      </c>
      <c r="B200" s="6" t="n">
        <v>50197</v>
      </c>
      <c r="C200" s="6" t="inlineStr">
        <is>
          <t>C108</t>
        </is>
      </c>
      <c r="D200" s="6" t="inlineStr">
        <is>
          <t>P05</t>
        </is>
      </c>
      <c r="E200" s="6" t="n">
        <v>11</v>
      </c>
      <c r="F200" s="7" t="n">
        <v>150</v>
      </c>
      <c r="G200" s="6">
        <f>IFERROR(INDEX('לקוחות'!$B:$B,MATCH(C200,'לקוחות'!$A:$A,0)),"לא נמצא")</f>
        <v/>
      </c>
      <c r="H200" s="7">
        <f>E200*F200</f>
        <v/>
      </c>
      <c r="I200" s="6">
        <f>MONTH(A200)</f>
        <v/>
      </c>
      <c r="J200" s="7">
        <f>INDEX('מוצרים'!$D:$D,MATCH(D200,'מוצרים'!$A:$A,0))</f>
        <v/>
      </c>
      <c r="K200" s="7">
        <f>(F200-J200)*E200</f>
        <v/>
      </c>
      <c r="L200" s="6">
        <f>IF(COUNTIF($B:$B,B200)&gt;1,"כפולה","")</f>
        <v/>
      </c>
    </row>
    <row r="201">
      <c r="A201" s="5" t="n">
        <v>46116</v>
      </c>
      <c r="B201" s="6" t="n">
        <v>50198</v>
      </c>
      <c r="C201" s="6" t="inlineStr">
        <is>
          <t>C103</t>
        </is>
      </c>
      <c r="D201" s="6" t="inlineStr">
        <is>
          <t>P08</t>
        </is>
      </c>
      <c r="E201" s="6" t="n">
        <v>40</v>
      </c>
      <c r="F201" s="7" t="n">
        <v>199</v>
      </c>
      <c r="G201" s="6">
        <f>IFERROR(INDEX('לקוחות'!$B:$B,MATCH(C201,'לקוחות'!$A:$A,0)),"לא נמצא")</f>
        <v/>
      </c>
      <c r="H201" s="7">
        <f>E201*F201</f>
        <v/>
      </c>
      <c r="I201" s="6">
        <f>MONTH(A201)</f>
        <v/>
      </c>
      <c r="J201" s="7">
        <f>INDEX('מוצרים'!$D:$D,MATCH(D201,'מוצרים'!$A:$A,0))</f>
        <v/>
      </c>
      <c r="K201" s="7">
        <f>(F201-J201)*E201</f>
        <v/>
      </c>
      <c r="L201" s="6">
        <f>IF(COUNTIF($B:$B,B201)&gt;1,"כפולה","")</f>
        <v/>
      </c>
    </row>
    <row r="202">
      <c r="A202" s="5" t="n">
        <v>46116</v>
      </c>
      <c r="B202" s="6" t="n">
        <v>50199</v>
      </c>
      <c r="C202" s="6" t="inlineStr">
        <is>
          <t>C106</t>
        </is>
      </c>
      <c r="D202" s="6" t="inlineStr">
        <is>
          <t>P06</t>
        </is>
      </c>
      <c r="E202" s="6" t="n">
        <v>18</v>
      </c>
      <c r="F202" s="7" t="n">
        <v>70</v>
      </c>
      <c r="G202" s="6">
        <f>IFERROR(INDEX('לקוחות'!$B:$B,MATCH(C202,'לקוחות'!$A:$A,0)),"לא נמצא")</f>
        <v/>
      </c>
      <c r="H202" s="7">
        <f>E202*F202</f>
        <v/>
      </c>
      <c r="I202" s="6">
        <f>MONTH(A202)</f>
        <v/>
      </c>
      <c r="J202" s="7">
        <f>INDEX('מוצרים'!$D:$D,MATCH(D202,'מוצרים'!$A:$A,0))</f>
        <v/>
      </c>
      <c r="K202" s="7">
        <f>(F202-J202)*E202</f>
        <v/>
      </c>
      <c r="L202" s="6">
        <f>IF(COUNTIF($B:$B,B202)&gt;1,"כפולה","")</f>
        <v/>
      </c>
    </row>
    <row r="203">
      <c r="A203" s="5" t="n">
        <v>46117</v>
      </c>
      <c r="B203" s="6" t="n">
        <v>50200</v>
      </c>
      <c r="C203" s="6" t="inlineStr">
        <is>
          <t>C102</t>
        </is>
      </c>
      <c r="D203" s="6" t="inlineStr">
        <is>
          <t>P02</t>
        </is>
      </c>
      <c r="E203" s="6" t="n">
        <v>11</v>
      </c>
      <c r="F203" s="7" t="n">
        <v>110</v>
      </c>
      <c r="G203" s="6">
        <f>IFERROR(INDEX('לקוחות'!$B:$B,MATCH(C203,'לקוחות'!$A:$A,0)),"לא נמצא")</f>
        <v/>
      </c>
      <c r="H203" s="7">
        <f>E203*F203</f>
        <v/>
      </c>
      <c r="I203" s="6">
        <f>MONTH(A203)</f>
        <v/>
      </c>
      <c r="J203" s="7">
        <f>INDEX('מוצרים'!$D:$D,MATCH(D203,'מוצרים'!$A:$A,0))</f>
        <v/>
      </c>
      <c r="K203" s="7">
        <f>(F203-J203)*E203</f>
        <v/>
      </c>
      <c r="L203" s="6">
        <f>IF(COUNTIF($B:$B,B203)&gt;1,"כפולה","")</f>
        <v/>
      </c>
    </row>
    <row r="204">
      <c r="A204" s="5" t="n">
        <v>46118</v>
      </c>
      <c r="B204" s="6" t="n">
        <v>50201</v>
      </c>
      <c r="C204" s="6" t="inlineStr">
        <is>
          <t>C106</t>
        </is>
      </c>
      <c r="D204" s="6" t="inlineStr">
        <is>
          <t>P03</t>
        </is>
      </c>
      <c r="E204" s="6" t="n">
        <v>16</v>
      </c>
      <c r="F204" s="7" t="n">
        <v>13</v>
      </c>
      <c r="G204" s="6">
        <f>IFERROR(INDEX('לקוחות'!$B:$B,MATCH(C204,'לקוחות'!$A:$A,0)),"לא נמצא")</f>
        <v/>
      </c>
      <c r="H204" s="7">
        <f>E204*F204</f>
        <v/>
      </c>
      <c r="I204" s="6">
        <f>MONTH(A204)</f>
        <v/>
      </c>
      <c r="J204" s="7">
        <f>INDEX('מוצרים'!$D:$D,MATCH(D204,'מוצרים'!$A:$A,0))</f>
        <v/>
      </c>
      <c r="K204" s="7">
        <f>(F204-J204)*E204</f>
        <v/>
      </c>
      <c r="L204" s="6">
        <f>IF(COUNTIF($B:$B,B204)&gt;1,"כפולה","")</f>
        <v/>
      </c>
    </row>
    <row r="205">
      <c r="A205" s="5" t="n">
        <v>46118</v>
      </c>
      <c r="B205" s="6" t="n">
        <v>50202</v>
      </c>
      <c r="C205" s="6" t="inlineStr">
        <is>
          <t>C102</t>
        </is>
      </c>
      <c r="D205" s="6" t="inlineStr">
        <is>
          <t>P08</t>
        </is>
      </c>
      <c r="E205" s="6" t="n">
        <v>5</v>
      </c>
      <c r="F205" s="7" t="n">
        <v>199</v>
      </c>
      <c r="G205" s="6">
        <f>IFERROR(INDEX('לקוחות'!$B:$B,MATCH(C205,'לקוחות'!$A:$A,0)),"לא נמצא")</f>
        <v/>
      </c>
      <c r="H205" s="7">
        <f>E205*F205</f>
        <v/>
      </c>
      <c r="I205" s="6">
        <f>MONTH(A205)</f>
        <v/>
      </c>
      <c r="J205" s="7">
        <f>INDEX('מוצרים'!$D:$D,MATCH(D205,'מוצרים'!$A:$A,0))</f>
        <v/>
      </c>
      <c r="K205" s="7">
        <f>(F205-J205)*E205</f>
        <v/>
      </c>
      <c r="L205" s="6">
        <f>IF(COUNTIF($B:$B,B205)&gt;1,"כפולה","")</f>
        <v/>
      </c>
    </row>
    <row r="206">
      <c r="A206" s="5" t="n">
        <v>46118</v>
      </c>
      <c r="B206" s="6" t="n">
        <v>50203</v>
      </c>
      <c r="C206" s="6" t="inlineStr">
        <is>
          <t>C102</t>
        </is>
      </c>
      <c r="D206" s="6" t="inlineStr">
        <is>
          <t>P01</t>
        </is>
      </c>
      <c r="E206" s="6" t="n">
        <v>38</v>
      </c>
      <c r="F206" s="7" t="n">
        <v>85</v>
      </c>
      <c r="G206" s="6">
        <f>IFERROR(INDEX('לקוחות'!$B:$B,MATCH(C206,'לקוחות'!$A:$A,0)),"לא נמצא")</f>
        <v/>
      </c>
      <c r="H206" s="7">
        <f>E206*F206</f>
        <v/>
      </c>
      <c r="I206" s="6">
        <f>MONTH(A206)</f>
        <v/>
      </c>
      <c r="J206" s="7">
        <f>INDEX('מוצרים'!$D:$D,MATCH(D206,'מוצרים'!$A:$A,0))</f>
        <v/>
      </c>
      <c r="K206" s="7">
        <f>(F206-J206)*E206</f>
        <v/>
      </c>
      <c r="L206" s="6">
        <f>IF(COUNTIF($B:$B,B206)&gt;1,"כפולה","")</f>
        <v/>
      </c>
    </row>
    <row r="207">
      <c r="A207" s="5" t="n">
        <v>46118</v>
      </c>
      <c r="B207" s="6" t="n">
        <v>50204</v>
      </c>
      <c r="C207" s="6" t="inlineStr">
        <is>
          <t>C107</t>
        </is>
      </c>
      <c r="D207" s="6" t="inlineStr">
        <is>
          <t>P02</t>
        </is>
      </c>
      <c r="E207" s="6" t="n">
        <v>37</v>
      </c>
      <c r="F207" s="7" t="n">
        <v>110</v>
      </c>
      <c r="G207" s="6">
        <f>IFERROR(INDEX('לקוחות'!$B:$B,MATCH(C207,'לקוחות'!$A:$A,0)),"לא נמצא")</f>
        <v/>
      </c>
      <c r="H207" s="7">
        <f>E207*F207</f>
        <v/>
      </c>
      <c r="I207" s="6">
        <f>MONTH(A207)</f>
        <v/>
      </c>
      <c r="J207" s="7">
        <f>INDEX('מוצרים'!$D:$D,MATCH(D207,'מוצרים'!$A:$A,0))</f>
        <v/>
      </c>
      <c r="K207" s="7">
        <f>(F207-J207)*E207</f>
        <v/>
      </c>
      <c r="L207" s="6">
        <f>IF(COUNTIF($B:$B,B207)&gt;1,"כפולה","")</f>
        <v/>
      </c>
    </row>
    <row r="208">
      <c r="A208" s="5" t="n">
        <v>46119</v>
      </c>
      <c r="B208" s="6" t="n">
        <v>50205</v>
      </c>
      <c r="C208" s="6" t="inlineStr">
        <is>
          <t>C106</t>
        </is>
      </c>
      <c r="D208" s="6" t="inlineStr">
        <is>
          <t>P04</t>
        </is>
      </c>
      <c r="E208" s="6" t="n">
        <v>5</v>
      </c>
      <c r="F208" s="7" t="n">
        <v>32</v>
      </c>
      <c r="G208" s="6">
        <f>IFERROR(INDEX('לקוחות'!$B:$B,MATCH(C208,'לקוחות'!$A:$A,0)),"לא נמצא")</f>
        <v/>
      </c>
      <c r="H208" s="7">
        <f>E208*F208</f>
        <v/>
      </c>
      <c r="I208" s="6">
        <f>MONTH(A208)</f>
        <v/>
      </c>
      <c r="J208" s="7">
        <f>INDEX('מוצרים'!$D:$D,MATCH(D208,'מוצרים'!$A:$A,0))</f>
        <v/>
      </c>
      <c r="K208" s="7">
        <f>(F208-J208)*E208</f>
        <v/>
      </c>
      <c r="L208" s="6">
        <f>IF(COUNTIF($B:$B,B208)&gt;1,"כפולה","")</f>
        <v/>
      </c>
    </row>
    <row r="209">
      <c r="A209" s="5" t="n">
        <v>46119</v>
      </c>
      <c r="B209" s="6" t="n">
        <v>50206</v>
      </c>
      <c r="C209" s="6" t="inlineStr">
        <is>
          <t>C107</t>
        </is>
      </c>
      <c r="D209" s="6" t="inlineStr">
        <is>
          <t>P06</t>
        </is>
      </c>
      <c r="E209" s="6" t="n">
        <v>13</v>
      </c>
      <c r="F209" s="7" t="n">
        <v>70</v>
      </c>
      <c r="G209" s="6">
        <f>IFERROR(INDEX('לקוחות'!$B:$B,MATCH(C209,'לקוחות'!$A:$A,0)),"לא נמצא")</f>
        <v/>
      </c>
      <c r="H209" s="7">
        <f>E209*F209</f>
        <v/>
      </c>
      <c r="I209" s="6">
        <f>MONTH(A209)</f>
        <v/>
      </c>
      <c r="J209" s="7">
        <f>INDEX('מוצרים'!$D:$D,MATCH(D209,'מוצרים'!$A:$A,0))</f>
        <v/>
      </c>
      <c r="K209" s="7">
        <f>(F209-J209)*E209</f>
        <v/>
      </c>
      <c r="L209" s="6">
        <f>IF(COUNTIF($B:$B,B209)&gt;1,"כפולה","")</f>
        <v/>
      </c>
    </row>
    <row r="210">
      <c r="A210" s="5" t="n">
        <v>46120</v>
      </c>
      <c r="B210" s="6" t="n">
        <v>50207</v>
      </c>
      <c r="C210" s="6" t="inlineStr">
        <is>
          <t>C102</t>
        </is>
      </c>
      <c r="D210" s="6" t="inlineStr">
        <is>
          <t>P05</t>
        </is>
      </c>
      <c r="E210" s="6" t="n">
        <v>26</v>
      </c>
      <c r="F210" s="7" t="n">
        <v>150</v>
      </c>
      <c r="G210" s="6">
        <f>IFERROR(INDEX('לקוחות'!$B:$B,MATCH(C210,'לקוחות'!$A:$A,0)),"לא נמצא")</f>
        <v/>
      </c>
      <c r="H210" s="7">
        <f>E210*F210</f>
        <v/>
      </c>
      <c r="I210" s="6">
        <f>MONTH(A210)</f>
        <v/>
      </c>
      <c r="J210" s="7">
        <f>INDEX('מוצרים'!$D:$D,MATCH(D210,'מוצרים'!$A:$A,0))</f>
        <v/>
      </c>
      <c r="K210" s="7">
        <f>(F210-J210)*E210</f>
        <v/>
      </c>
      <c r="L210" s="6">
        <f>IF(COUNTIF($B:$B,B210)&gt;1,"כפולה","")</f>
        <v/>
      </c>
    </row>
    <row r="211">
      <c r="A211" s="5" t="n">
        <v>46120</v>
      </c>
      <c r="B211" s="6" t="n">
        <v>50208</v>
      </c>
      <c r="C211" s="6" t="inlineStr">
        <is>
          <t>C104</t>
        </is>
      </c>
      <c r="D211" s="6" t="inlineStr">
        <is>
          <t>P07</t>
        </is>
      </c>
      <c r="E211" s="6" t="n">
        <v>17</v>
      </c>
      <c r="F211" s="7" t="n">
        <v>95</v>
      </c>
      <c r="G211" s="6">
        <f>IFERROR(INDEX('לקוחות'!$B:$B,MATCH(C211,'לקוחות'!$A:$A,0)),"לא נמצא")</f>
        <v/>
      </c>
      <c r="H211" s="7">
        <f>E211*F211</f>
        <v/>
      </c>
      <c r="I211" s="6">
        <f>MONTH(A211)</f>
        <v/>
      </c>
      <c r="J211" s="7">
        <f>INDEX('מוצרים'!$D:$D,MATCH(D211,'מוצרים'!$A:$A,0))</f>
        <v/>
      </c>
      <c r="K211" s="7">
        <f>(F211-J211)*E211</f>
        <v/>
      </c>
      <c r="L211" s="6">
        <f>IF(COUNTIF($B:$B,B211)&gt;1,"כפולה","")</f>
        <v/>
      </c>
    </row>
    <row r="212">
      <c r="A212" s="5" t="n">
        <v>46120</v>
      </c>
      <c r="B212" s="6" t="n">
        <v>50209</v>
      </c>
      <c r="C212" s="6" t="inlineStr">
        <is>
          <t>C106</t>
        </is>
      </c>
      <c r="D212" s="6" t="inlineStr">
        <is>
          <t>P03</t>
        </is>
      </c>
      <c r="E212" s="6" t="n">
        <v>32</v>
      </c>
      <c r="F212" s="7" t="n">
        <v>13</v>
      </c>
      <c r="G212" s="6">
        <f>IFERROR(INDEX('לקוחות'!$B:$B,MATCH(C212,'לקוחות'!$A:$A,0)),"לא נמצא")</f>
        <v/>
      </c>
      <c r="H212" s="7">
        <f>E212*F212</f>
        <v/>
      </c>
      <c r="I212" s="6">
        <f>MONTH(A212)</f>
        <v/>
      </c>
      <c r="J212" s="7">
        <f>INDEX('מוצרים'!$D:$D,MATCH(D212,'מוצרים'!$A:$A,0))</f>
        <v/>
      </c>
      <c r="K212" s="7">
        <f>(F212-J212)*E212</f>
        <v/>
      </c>
      <c r="L212" s="6">
        <f>IF(COUNTIF($B:$B,B212)&gt;1,"כפולה","")</f>
        <v/>
      </c>
    </row>
    <row r="213">
      <c r="A213" s="5" t="n">
        <v>46120</v>
      </c>
      <c r="B213" s="6" t="n">
        <v>50210</v>
      </c>
      <c r="C213" s="6" t="inlineStr">
        <is>
          <t>C109</t>
        </is>
      </c>
      <c r="D213" s="6" t="inlineStr">
        <is>
          <t>P04</t>
        </is>
      </c>
      <c r="E213" s="6" t="n">
        <v>32</v>
      </c>
      <c r="F213" s="7" t="n">
        <v>32</v>
      </c>
      <c r="G213" s="6">
        <f>IFERROR(INDEX('לקוחות'!$B:$B,MATCH(C213,'לקוחות'!$A:$A,0)),"לא נמצא")</f>
        <v/>
      </c>
      <c r="H213" s="7">
        <f>E213*F213</f>
        <v/>
      </c>
      <c r="I213" s="6">
        <f>MONTH(A213)</f>
        <v/>
      </c>
      <c r="J213" s="7">
        <f>INDEX('מוצרים'!$D:$D,MATCH(D213,'מוצרים'!$A:$A,0))</f>
        <v/>
      </c>
      <c r="K213" s="7">
        <f>(F213-J213)*E213</f>
        <v/>
      </c>
      <c r="L213" s="6">
        <f>IF(COUNTIF($B:$B,B213)&gt;1,"כפולה","")</f>
        <v/>
      </c>
    </row>
    <row r="214">
      <c r="A214" s="5" t="n">
        <v>46121</v>
      </c>
      <c r="B214" s="6" t="n">
        <v>50211</v>
      </c>
      <c r="C214" s="6" t="inlineStr">
        <is>
          <t>C106</t>
        </is>
      </c>
      <c r="D214" s="6" t="inlineStr">
        <is>
          <t>P08</t>
        </is>
      </c>
      <c r="E214" s="6" t="n">
        <v>34</v>
      </c>
      <c r="F214" s="7" t="n">
        <v>199</v>
      </c>
      <c r="G214" s="6">
        <f>IFERROR(INDEX('לקוחות'!$B:$B,MATCH(C214,'לקוחות'!$A:$A,0)),"לא נמצא")</f>
        <v/>
      </c>
      <c r="H214" s="7">
        <f>E214*F214</f>
        <v/>
      </c>
      <c r="I214" s="6">
        <f>MONTH(A214)</f>
        <v/>
      </c>
      <c r="J214" s="7">
        <f>INDEX('מוצרים'!$D:$D,MATCH(D214,'מוצרים'!$A:$A,0))</f>
        <v/>
      </c>
      <c r="K214" s="7">
        <f>(F214-J214)*E214</f>
        <v/>
      </c>
      <c r="L214" s="6">
        <f>IF(COUNTIF($B:$B,B214)&gt;1,"כפולה","")</f>
        <v/>
      </c>
    </row>
    <row r="215">
      <c r="A215" s="5" t="n">
        <v>46121</v>
      </c>
      <c r="B215" s="6" t="n">
        <v>50212</v>
      </c>
      <c r="C215" s="6" t="inlineStr">
        <is>
          <t>C108</t>
        </is>
      </c>
      <c r="D215" s="6" t="inlineStr">
        <is>
          <t>P08</t>
        </is>
      </c>
      <c r="E215" s="6" t="n">
        <v>36</v>
      </c>
      <c r="F215" s="7" t="n">
        <v>199</v>
      </c>
      <c r="G215" s="6">
        <f>IFERROR(INDEX('לקוחות'!$B:$B,MATCH(C215,'לקוחות'!$A:$A,0)),"לא נמצא")</f>
        <v/>
      </c>
      <c r="H215" s="7">
        <f>E215*F215</f>
        <v/>
      </c>
      <c r="I215" s="6">
        <f>MONTH(A215)</f>
        <v/>
      </c>
      <c r="J215" s="7">
        <f>INDEX('מוצרים'!$D:$D,MATCH(D215,'מוצרים'!$A:$A,0))</f>
        <v/>
      </c>
      <c r="K215" s="7">
        <f>(F215-J215)*E215</f>
        <v/>
      </c>
      <c r="L215" s="6">
        <f>IF(COUNTIF($B:$B,B215)&gt;1,"כפולה","")</f>
        <v/>
      </c>
    </row>
    <row r="216">
      <c r="A216" s="5" t="n">
        <v>46123</v>
      </c>
      <c r="B216" s="6" t="n">
        <v>50213</v>
      </c>
      <c r="C216" s="6" t="inlineStr">
        <is>
          <t>C105</t>
        </is>
      </c>
      <c r="D216" s="6" t="inlineStr">
        <is>
          <t>P06</t>
        </is>
      </c>
      <c r="E216" s="6" t="n">
        <v>36</v>
      </c>
      <c r="F216" s="7" t="n">
        <v>70</v>
      </c>
      <c r="G216" s="6">
        <f>IFERROR(INDEX('לקוחות'!$B:$B,MATCH(C216,'לקוחות'!$A:$A,0)),"לא נמצא")</f>
        <v/>
      </c>
      <c r="H216" s="7">
        <f>E216*F216</f>
        <v/>
      </c>
      <c r="I216" s="6">
        <f>MONTH(A216)</f>
        <v/>
      </c>
      <c r="J216" s="7">
        <f>INDEX('מוצרים'!$D:$D,MATCH(D216,'מוצרים'!$A:$A,0))</f>
        <v/>
      </c>
      <c r="K216" s="7">
        <f>(F216-J216)*E216</f>
        <v/>
      </c>
      <c r="L216" s="6">
        <f>IF(COUNTIF($B:$B,B216)&gt;1,"כפולה","")</f>
        <v/>
      </c>
    </row>
    <row r="217">
      <c r="A217" s="5" t="n">
        <v>46124</v>
      </c>
      <c r="B217" s="6" t="n">
        <v>50214</v>
      </c>
      <c r="C217" s="6" t="inlineStr">
        <is>
          <t>C107</t>
        </is>
      </c>
      <c r="D217" s="6" t="inlineStr">
        <is>
          <t>P03</t>
        </is>
      </c>
      <c r="E217" s="6" t="n">
        <v>17</v>
      </c>
      <c r="F217" s="7" t="n">
        <v>13</v>
      </c>
      <c r="G217" s="6">
        <f>IFERROR(INDEX('לקוחות'!$B:$B,MATCH(C217,'לקוחות'!$A:$A,0)),"לא נמצא")</f>
        <v/>
      </c>
      <c r="H217" s="7">
        <f>E217*F217</f>
        <v/>
      </c>
      <c r="I217" s="6">
        <f>MONTH(A217)</f>
        <v/>
      </c>
      <c r="J217" s="7">
        <f>INDEX('מוצרים'!$D:$D,MATCH(D217,'מוצרים'!$A:$A,0))</f>
        <v/>
      </c>
      <c r="K217" s="7">
        <f>(F217-J217)*E217</f>
        <v/>
      </c>
      <c r="L217" s="6">
        <f>IF(COUNTIF($B:$B,B217)&gt;1,"כפולה","")</f>
        <v/>
      </c>
    </row>
    <row r="218">
      <c r="A218" s="5" t="n">
        <v>46124</v>
      </c>
      <c r="B218" s="6" t="n">
        <v>50215</v>
      </c>
      <c r="C218" s="6" t="inlineStr">
        <is>
          <t>C108</t>
        </is>
      </c>
      <c r="D218" s="6" t="inlineStr">
        <is>
          <t>P06</t>
        </is>
      </c>
      <c r="E218" s="6" t="n">
        <v>16</v>
      </c>
      <c r="F218" s="7" t="n">
        <v>70</v>
      </c>
      <c r="G218" s="6">
        <f>IFERROR(INDEX('לקוחות'!$B:$B,MATCH(C218,'לקוחות'!$A:$A,0)),"לא נמצא")</f>
        <v/>
      </c>
      <c r="H218" s="7">
        <f>E218*F218</f>
        <v/>
      </c>
      <c r="I218" s="6">
        <f>MONTH(A218)</f>
        <v/>
      </c>
      <c r="J218" s="7">
        <f>INDEX('מוצרים'!$D:$D,MATCH(D218,'מוצרים'!$A:$A,0))</f>
        <v/>
      </c>
      <c r="K218" s="7">
        <f>(F218-J218)*E218</f>
        <v/>
      </c>
      <c r="L218" s="6">
        <f>IF(COUNTIF($B:$B,B218)&gt;1,"כפולה","")</f>
        <v/>
      </c>
    </row>
    <row r="219">
      <c r="A219" s="5" t="n">
        <v>46125</v>
      </c>
      <c r="B219" s="6" t="n">
        <v>50216</v>
      </c>
      <c r="C219" s="6" t="inlineStr">
        <is>
          <t>C108</t>
        </is>
      </c>
      <c r="D219" s="6" t="inlineStr">
        <is>
          <t>P06</t>
        </is>
      </c>
      <c r="E219" s="6" t="n">
        <v>2</v>
      </c>
      <c r="F219" s="7" t="n">
        <v>70</v>
      </c>
      <c r="G219" s="6">
        <f>IFERROR(INDEX('לקוחות'!$B:$B,MATCH(C219,'לקוחות'!$A:$A,0)),"לא נמצא")</f>
        <v/>
      </c>
      <c r="H219" s="7">
        <f>E219*F219</f>
        <v/>
      </c>
      <c r="I219" s="6">
        <f>MONTH(A219)</f>
        <v/>
      </c>
      <c r="J219" s="7">
        <f>INDEX('מוצרים'!$D:$D,MATCH(D219,'מוצרים'!$A:$A,0))</f>
        <v/>
      </c>
      <c r="K219" s="7">
        <f>(F219-J219)*E219</f>
        <v/>
      </c>
      <c r="L219" s="6">
        <f>IF(COUNTIF($B:$B,B219)&gt;1,"כפולה","")</f>
        <v/>
      </c>
    </row>
    <row r="220">
      <c r="A220" s="5" t="n">
        <v>46125</v>
      </c>
      <c r="B220" s="6" t="n">
        <v>50217</v>
      </c>
      <c r="C220" s="6" t="inlineStr">
        <is>
          <t>C108</t>
        </is>
      </c>
      <c r="D220" s="6" t="inlineStr">
        <is>
          <t>P01</t>
        </is>
      </c>
      <c r="E220" s="6" t="n">
        <v>30</v>
      </c>
      <c r="F220" s="7" t="n">
        <v>85</v>
      </c>
      <c r="G220" s="6">
        <f>IFERROR(INDEX('לקוחות'!$B:$B,MATCH(C220,'לקוחות'!$A:$A,0)),"לא נמצא")</f>
        <v/>
      </c>
      <c r="H220" s="7">
        <f>E220*F220</f>
        <v/>
      </c>
      <c r="I220" s="6">
        <f>MONTH(A220)</f>
        <v/>
      </c>
      <c r="J220" s="7">
        <f>INDEX('מוצרים'!$D:$D,MATCH(D220,'מוצרים'!$A:$A,0))</f>
        <v/>
      </c>
      <c r="K220" s="7">
        <f>(F220-J220)*E220</f>
        <v/>
      </c>
      <c r="L220" s="6">
        <f>IF(COUNTIF($B:$B,B220)&gt;1,"כפולה","")</f>
        <v/>
      </c>
    </row>
    <row r="221">
      <c r="A221" s="5" t="n">
        <v>46125</v>
      </c>
      <c r="B221" s="6" t="n">
        <v>50218</v>
      </c>
      <c r="C221" s="6" t="inlineStr">
        <is>
          <t>C107</t>
        </is>
      </c>
      <c r="D221" s="6" t="inlineStr">
        <is>
          <t>P07</t>
        </is>
      </c>
      <c r="E221" s="6" t="n">
        <v>22</v>
      </c>
      <c r="F221" s="7" t="n">
        <v>95</v>
      </c>
      <c r="G221" s="6">
        <f>IFERROR(INDEX('לקוחות'!$B:$B,MATCH(C221,'לקוחות'!$A:$A,0)),"לא נמצא")</f>
        <v/>
      </c>
      <c r="H221" s="7">
        <f>E221*F221</f>
        <v/>
      </c>
      <c r="I221" s="6">
        <f>MONTH(A221)</f>
        <v/>
      </c>
      <c r="J221" s="7">
        <f>INDEX('מוצרים'!$D:$D,MATCH(D221,'מוצרים'!$A:$A,0))</f>
        <v/>
      </c>
      <c r="K221" s="7">
        <f>(F221-J221)*E221</f>
        <v/>
      </c>
      <c r="L221" s="6">
        <f>IF(COUNTIF($B:$B,B221)&gt;1,"כפולה","")</f>
        <v/>
      </c>
    </row>
    <row r="222">
      <c r="A222" s="5" t="n">
        <v>46126</v>
      </c>
      <c r="B222" s="6" t="n">
        <v>50219</v>
      </c>
      <c r="C222" s="6" t="inlineStr">
        <is>
          <t>C105</t>
        </is>
      </c>
      <c r="D222" s="6" t="inlineStr">
        <is>
          <t>P01</t>
        </is>
      </c>
      <c r="E222" s="6" t="n">
        <v>26</v>
      </c>
      <c r="F222" s="7" t="n">
        <v>76</v>
      </c>
      <c r="G222" s="6">
        <f>IFERROR(INDEX('לקוחות'!$B:$B,MATCH(C222,'לקוחות'!$A:$A,0)),"לא נמצא")</f>
        <v/>
      </c>
      <c r="H222" s="7">
        <f>E222*F222</f>
        <v/>
      </c>
      <c r="I222" s="6">
        <f>MONTH(A222)</f>
        <v/>
      </c>
      <c r="J222" s="7">
        <f>INDEX('מוצרים'!$D:$D,MATCH(D222,'מוצרים'!$A:$A,0))</f>
        <v/>
      </c>
      <c r="K222" s="7">
        <f>(F222-J222)*E222</f>
        <v/>
      </c>
      <c r="L222" s="6">
        <f>IF(COUNTIF($B:$B,B222)&gt;1,"כפולה","")</f>
        <v/>
      </c>
    </row>
    <row r="223">
      <c r="A223" s="5" t="n">
        <v>46127</v>
      </c>
      <c r="B223" s="6" t="n">
        <v>50220</v>
      </c>
      <c r="C223" s="6" t="inlineStr">
        <is>
          <t>C105</t>
        </is>
      </c>
      <c r="D223" s="6" t="inlineStr">
        <is>
          <t>P06</t>
        </is>
      </c>
      <c r="E223" s="6" t="n">
        <v>7</v>
      </c>
      <c r="F223" s="7" t="n">
        <v>70</v>
      </c>
      <c r="G223" s="6">
        <f>IFERROR(INDEX('לקוחות'!$B:$B,MATCH(C223,'לקוחות'!$A:$A,0)),"לא נמצא")</f>
        <v/>
      </c>
      <c r="H223" s="7">
        <f>E223*F223</f>
        <v/>
      </c>
      <c r="I223" s="6">
        <f>MONTH(A223)</f>
        <v/>
      </c>
      <c r="J223" s="7">
        <f>INDEX('מוצרים'!$D:$D,MATCH(D223,'מוצרים'!$A:$A,0))</f>
        <v/>
      </c>
      <c r="K223" s="7">
        <f>(F223-J223)*E223</f>
        <v/>
      </c>
      <c r="L223" s="6">
        <f>IF(COUNTIF($B:$B,B223)&gt;1,"כפולה","")</f>
        <v/>
      </c>
    </row>
    <row r="224">
      <c r="A224" s="5" t="n">
        <v>46127</v>
      </c>
      <c r="B224" s="6" t="n">
        <v>50221</v>
      </c>
      <c r="C224" s="6" t="inlineStr">
        <is>
          <t>C102</t>
        </is>
      </c>
      <c r="D224" s="6" t="inlineStr">
        <is>
          <t>P02</t>
        </is>
      </c>
      <c r="E224" s="6" t="n">
        <v>31</v>
      </c>
      <c r="F224" s="7" t="n">
        <v>110</v>
      </c>
      <c r="G224" s="6">
        <f>IFERROR(INDEX('לקוחות'!$B:$B,MATCH(C224,'לקוחות'!$A:$A,0)),"לא נמצא")</f>
        <v/>
      </c>
      <c r="H224" s="7">
        <f>E224*F224</f>
        <v/>
      </c>
      <c r="I224" s="6">
        <f>MONTH(A224)</f>
        <v/>
      </c>
      <c r="J224" s="7">
        <f>INDEX('מוצרים'!$D:$D,MATCH(D224,'מוצרים'!$A:$A,0))</f>
        <v/>
      </c>
      <c r="K224" s="7">
        <f>(F224-J224)*E224</f>
        <v/>
      </c>
      <c r="L224" s="6">
        <f>IF(COUNTIF($B:$B,B224)&gt;1,"כפולה","")</f>
        <v/>
      </c>
    </row>
    <row r="225">
      <c r="A225" s="5" t="n">
        <v>46128</v>
      </c>
      <c r="B225" s="6" t="n">
        <v>50222</v>
      </c>
      <c r="C225" s="6" t="inlineStr">
        <is>
          <t>C100</t>
        </is>
      </c>
      <c r="D225" s="6" t="inlineStr">
        <is>
          <t>P06</t>
        </is>
      </c>
      <c r="E225" s="6" t="n">
        <v>31</v>
      </c>
      <c r="F225" s="7" t="n">
        <v>70</v>
      </c>
      <c r="G225" s="6">
        <f>IFERROR(INDEX('לקוחות'!$B:$B,MATCH(C225,'לקוחות'!$A:$A,0)),"לא נמצא")</f>
        <v/>
      </c>
      <c r="H225" s="7">
        <f>E225*F225</f>
        <v/>
      </c>
      <c r="I225" s="6">
        <f>MONTH(A225)</f>
        <v/>
      </c>
      <c r="J225" s="7">
        <f>INDEX('מוצרים'!$D:$D,MATCH(D225,'מוצרים'!$A:$A,0))</f>
        <v/>
      </c>
      <c r="K225" s="7">
        <f>(F225-J225)*E225</f>
        <v/>
      </c>
      <c r="L225" s="6">
        <f>IF(COUNTIF($B:$B,B225)&gt;1,"כפולה","")</f>
        <v/>
      </c>
    </row>
    <row r="226">
      <c r="A226" s="5" t="n">
        <v>46129</v>
      </c>
      <c r="B226" s="6" t="n">
        <v>50223</v>
      </c>
      <c r="C226" s="6" t="inlineStr">
        <is>
          <t>C109</t>
        </is>
      </c>
      <c r="D226" s="6" t="inlineStr">
        <is>
          <t>P04</t>
        </is>
      </c>
      <c r="E226" s="6" t="n">
        <v>34</v>
      </c>
      <c r="F226" s="7" t="n">
        <v>32</v>
      </c>
      <c r="G226" s="6">
        <f>IFERROR(INDEX('לקוחות'!$B:$B,MATCH(C226,'לקוחות'!$A:$A,0)),"לא נמצא")</f>
        <v/>
      </c>
      <c r="H226" s="7">
        <f>E226*F226</f>
        <v/>
      </c>
      <c r="I226" s="6">
        <f>MONTH(A226)</f>
        <v/>
      </c>
      <c r="J226" s="7">
        <f>INDEX('מוצרים'!$D:$D,MATCH(D226,'מוצרים'!$A:$A,0))</f>
        <v/>
      </c>
      <c r="K226" s="7">
        <f>(F226-J226)*E226</f>
        <v/>
      </c>
      <c r="L226" s="6">
        <f>IF(COUNTIF($B:$B,B226)&gt;1,"כפולה","")</f>
        <v/>
      </c>
    </row>
    <row r="227">
      <c r="A227" s="5" t="n">
        <v>46129</v>
      </c>
      <c r="B227" s="6" t="n">
        <v>50224</v>
      </c>
      <c r="C227" s="6" t="inlineStr">
        <is>
          <t>C105</t>
        </is>
      </c>
      <c r="D227" s="6" t="inlineStr">
        <is>
          <t>P05</t>
        </is>
      </c>
      <c r="E227" s="6" t="n">
        <v>1</v>
      </c>
      <c r="F227" s="7" t="n">
        <v>150</v>
      </c>
      <c r="G227" s="6">
        <f>IFERROR(INDEX('לקוחות'!$B:$B,MATCH(C227,'לקוחות'!$A:$A,0)),"לא נמצא")</f>
        <v/>
      </c>
      <c r="H227" s="7">
        <f>E227*F227</f>
        <v/>
      </c>
      <c r="I227" s="6">
        <f>MONTH(A227)</f>
        <v/>
      </c>
      <c r="J227" s="7">
        <f>INDEX('מוצרים'!$D:$D,MATCH(D227,'מוצרים'!$A:$A,0))</f>
        <v/>
      </c>
      <c r="K227" s="7">
        <f>(F227-J227)*E227</f>
        <v/>
      </c>
      <c r="L227" s="6">
        <f>IF(COUNTIF($B:$B,B227)&gt;1,"כפולה","")</f>
        <v/>
      </c>
    </row>
    <row r="228">
      <c r="A228" s="5" t="n">
        <v>46129</v>
      </c>
      <c r="B228" s="6" t="n">
        <v>50225</v>
      </c>
      <c r="C228" s="6" t="inlineStr">
        <is>
          <t>C102</t>
        </is>
      </c>
      <c r="D228" s="6" t="inlineStr">
        <is>
          <t>P04</t>
        </is>
      </c>
      <c r="E228" s="6" t="n">
        <v>9</v>
      </c>
      <c r="F228" s="7" t="n">
        <v>32</v>
      </c>
      <c r="G228" s="6">
        <f>IFERROR(INDEX('לקוחות'!$B:$B,MATCH(C228,'לקוחות'!$A:$A,0)),"לא נמצא")</f>
        <v/>
      </c>
      <c r="H228" s="7">
        <f>E228*F228</f>
        <v/>
      </c>
      <c r="I228" s="6">
        <f>MONTH(A228)</f>
        <v/>
      </c>
      <c r="J228" s="7">
        <f>INDEX('מוצרים'!$D:$D,MATCH(D228,'מוצרים'!$A:$A,0))</f>
        <v/>
      </c>
      <c r="K228" s="7">
        <f>(F228-J228)*E228</f>
        <v/>
      </c>
      <c r="L228" s="6">
        <f>IF(COUNTIF($B:$B,B228)&gt;1,"כפולה","")</f>
        <v/>
      </c>
    </row>
    <row r="229">
      <c r="A229" s="5" t="n">
        <v>46129</v>
      </c>
      <c r="B229" s="6" t="n">
        <v>50226</v>
      </c>
      <c r="C229" s="6" t="inlineStr">
        <is>
          <t>C109</t>
        </is>
      </c>
      <c r="D229" s="6" t="inlineStr">
        <is>
          <t>P01</t>
        </is>
      </c>
      <c r="E229" s="6" t="n">
        <v>32</v>
      </c>
      <c r="F229" s="7" t="n">
        <v>85</v>
      </c>
      <c r="G229" s="6">
        <f>IFERROR(INDEX('לקוחות'!$B:$B,MATCH(C229,'לקוחות'!$A:$A,0)),"לא נמצא")</f>
        <v/>
      </c>
      <c r="H229" s="7">
        <f>E229*F229</f>
        <v/>
      </c>
      <c r="I229" s="6">
        <f>MONTH(A229)</f>
        <v/>
      </c>
      <c r="J229" s="7">
        <f>INDEX('מוצרים'!$D:$D,MATCH(D229,'מוצרים'!$A:$A,0))</f>
        <v/>
      </c>
      <c r="K229" s="7">
        <f>(F229-J229)*E229</f>
        <v/>
      </c>
      <c r="L229" s="6">
        <f>IF(COUNTIF($B:$B,B229)&gt;1,"כפולה","")</f>
        <v/>
      </c>
    </row>
    <row r="230">
      <c r="A230" s="5" t="n">
        <v>46130</v>
      </c>
      <c r="B230" s="6" t="n">
        <v>50227</v>
      </c>
      <c r="C230" s="6" t="inlineStr">
        <is>
          <t>C106</t>
        </is>
      </c>
      <c r="D230" s="6" t="inlineStr">
        <is>
          <t>P01</t>
        </is>
      </c>
      <c r="E230" s="6" t="n">
        <v>37</v>
      </c>
      <c r="F230" s="7" t="n">
        <v>85</v>
      </c>
      <c r="G230" s="6">
        <f>IFERROR(INDEX('לקוחות'!$B:$B,MATCH(C230,'לקוחות'!$A:$A,0)),"לא נמצא")</f>
        <v/>
      </c>
      <c r="H230" s="7">
        <f>E230*F230</f>
        <v/>
      </c>
      <c r="I230" s="6">
        <f>MONTH(A230)</f>
        <v/>
      </c>
      <c r="J230" s="7">
        <f>INDEX('מוצרים'!$D:$D,MATCH(D230,'מוצרים'!$A:$A,0))</f>
        <v/>
      </c>
      <c r="K230" s="7">
        <f>(F230-J230)*E230</f>
        <v/>
      </c>
      <c r="L230" s="6">
        <f>IF(COUNTIF($B:$B,B230)&gt;1,"כפולה","")</f>
        <v/>
      </c>
    </row>
    <row r="231">
      <c r="A231" s="5" t="n">
        <v>46130</v>
      </c>
      <c r="B231" s="6" t="n">
        <v>50228</v>
      </c>
      <c r="C231" s="6" t="inlineStr">
        <is>
          <t>C108</t>
        </is>
      </c>
      <c r="D231" s="6" t="inlineStr">
        <is>
          <t>P04</t>
        </is>
      </c>
      <c r="E231" s="6" t="n">
        <v>32</v>
      </c>
      <c r="F231" s="7" t="n">
        <v>32</v>
      </c>
      <c r="G231" s="6">
        <f>IFERROR(INDEX('לקוחות'!$B:$B,MATCH(C231,'לקוחות'!$A:$A,0)),"לא נמצא")</f>
        <v/>
      </c>
      <c r="H231" s="7">
        <f>E231*F231</f>
        <v/>
      </c>
      <c r="I231" s="6">
        <f>MONTH(A231)</f>
        <v/>
      </c>
      <c r="J231" s="7">
        <f>INDEX('מוצרים'!$D:$D,MATCH(D231,'מוצרים'!$A:$A,0))</f>
        <v/>
      </c>
      <c r="K231" s="7">
        <f>(F231-J231)*E231</f>
        <v/>
      </c>
      <c r="L231" s="6">
        <f>IF(COUNTIF($B:$B,B231)&gt;1,"כפולה","")</f>
        <v/>
      </c>
    </row>
    <row r="232">
      <c r="A232" s="5" t="n">
        <v>46130</v>
      </c>
      <c r="B232" s="6" t="n">
        <v>50229</v>
      </c>
      <c r="C232" s="6" t="inlineStr">
        <is>
          <t>C107</t>
        </is>
      </c>
      <c r="D232" s="6" t="inlineStr">
        <is>
          <t>P06</t>
        </is>
      </c>
      <c r="E232" s="6" t="n">
        <v>11</v>
      </c>
      <c r="F232" s="7" t="n">
        <v>70</v>
      </c>
      <c r="G232" s="6">
        <f>IFERROR(INDEX('לקוחות'!$B:$B,MATCH(C232,'לקוחות'!$A:$A,0)),"לא נמצא")</f>
        <v/>
      </c>
      <c r="H232" s="7">
        <f>E232*F232</f>
        <v/>
      </c>
      <c r="I232" s="6">
        <f>MONTH(A232)</f>
        <v/>
      </c>
      <c r="J232" s="7">
        <f>INDEX('מוצרים'!$D:$D,MATCH(D232,'מוצרים'!$A:$A,0))</f>
        <v/>
      </c>
      <c r="K232" s="7">
        <f>(F232-J232)*E232</f>
        <v/>
      </c>
      <c r="L232" s="6">
        <f>IF(COUNTIF($B:$B,B232)&gt;1,"כפולה","")</f>
        <v/>
      </c>
    </row>
    <row r="233">
      <c r="A233" s="5" t="n">
        <v>46131</v>
      </c>
      <c r="B233" s="6" t="n">
        <v>50230</v>
      </c>
      <c r="C233" s="6" t="inlineStr">
        <is>
          <t>C107</t>
        </is>
      </c>
      <c r="D233" s="6" t="inlineStr">
        <is>
          <t>P08</t>
        </is>
      </c>
      <c r="E233" s="6" t="n">
        <v>27</v>
      </c>
      <c r="F233" s="7" t="n">
        <v>199</v>
      </c>
      <c r="G233" s="6">
        <f>IFERROR(INDEX('לקוחות'!$B:$B,MATCH(C233,'לקוחות'!$A:$A,0)),"לא נמצא")</f>
        <v/>
      </c>
      <c r="H233" s="7">
        <f>E233*F233</f>
        <v/>
      </c>
      <c r="I233" s="6">
        <f>MONTH(A233)</f>
        <v/>
      </c>
      <c r="J233" s="7">
        <f>INDEX('מוצרים'!$D:$D,MATCH(D233,'מוצרים'!$A:$A,0))</f>
        <v/>
      </c>
      <c r="K233" s="7">
        <f>(F233-J233)*E233</f>
        <v/>
      </c>
      <c r="L233" s="6">
        <f>IF(COUNTIF($B:$B,B233)&gt;1,"כפולה","")</f>
        <v/>
      </c>
    </row>
    <row r="234">
      <c r="A234" s="5" t="n">
        <v>46132</v>
      </c>
      <c r="B234" s="6" t="n">
        <v>50231</v>
      </c>
      <c r="C234" s="6" t="inlineStr">
        <is>
          <t>C102</t>
        </is>
      </c>
      <c r="D234" s="6" t="inlineStr">
        <is>
          <t>P08</t>
        </is>
      </c>
      <c r="E234" s="6" t="n">
        <v>23</v>
      </c>
      <c r="F234" s="7" t="n">
        <v>199</v>
      </c>
      <c r="G234" s="6">
        <f>IFERROR(INDEX('לקוחות'!$B:$B,MATCH(C234,'לקוחות'!$A:$A,0)),"לא נמצא")</f>
        <v/>
      </c>
      <c r="H234" s="7">
        <f>E234*F234</f>
        <v/>
      </c>
      <c r="I234" s="6">
        <f>MONTH(A234)</f>
        <v/>
      </c>
      <c r="J234" s="7">
        <f>INDEX('מוצרים'!$D:$D,MATCH(D234,'מוצרים'!$A:$A,0))</f>
        <v/>
      </c>
      <c r="K234" s="7">
        <f>(F234-J234)*E234</f>
        <v/>
      </c>
      <c r="L234" s="6">
        <f>IF(COUNTIF($B:$B,B234)&gt;1,"כפולה","")</f>
        <v/>
      </c>
    </row>
    <row r="235">
      <c r="A235" s="5" t="n">
        <v>46133</v>
      </c>
      <c r="B235" s="6" t="n">
        <v>50232</v>
      </c>
      <c r="C235" s="6" t="inlineStr">
        <is>
          <t>C105</t>
        </is>
      </c>
      <c r="D235" s="6" t="inlineStr">
        <is>
          <t>P05</t>
        </is>
      </c>
      <c r="E235" s="6" t="n">
        <v>2</v>
      </c>
      <c r="F235" s="7" t="n">
        <v>150</v>
      </c>
      <c r="G235" s="6">
        <f>IFERROR(INDEX('לקוחות'!$B:$B,MATCH(C235,'לקוחות'!$A:$A,0)),"לא נמצא")</f>
        <v/>
      </c>
      <c r="H235" s="7">
        <f>E235*F235</f>
        <v/>
      </c>
      <c r="I235" s="6">
        <f>MONTH(A235)</f>
        <v/>
      </c>
      <c r="J235" s="7">
        <f>INDEX('מוצרים'!$D:$D,MATCH(D235,'מוצרים'!$A:$A,0))</f>
        <v/>
      </c>
      <c r="K235" s="7">
        <f>(F235-J235)*E235</f>
        <v/>
      </c>
      <c r="L235" s="6">
        <f>IF(COUNTIF($B:$B,B235)&gt;1,"כפולה","")</f>
        <v/>
      </c>
    </row>
    <row r="236">
      <c r="A236" s="5" t="n">
        <v>46133</v>
      </c>
      <c r="B236" s="6" t="n">
        <v>50233</v>
      </c>
      <c r="C236" s="6" t="inlineStr">
        <is>
          <t>C102</t>
        </is>
      </c>
      <c r="D236" s="6" t="inlineStr">
        <is>
          <t>P03</t>
        </is>
      </c>
      <c r="E236" s="6" t="n">
        <v>25</v>
      </c>
      <c r="F236" s="7" t="n">
        <v>13</v>
      </c>
      <c r="G236" s="6">
        <f>IFERROR(INDEX('לקוחות'!$B:$B,MATCH(C236,'לקוחות'!$A:$A,0)),"לא נמצא")</f>
        <v/>
      </c>
      <c r="H236" s="7">
        <f>E236*F236</f>
        <v/>
      </c>
      <c r="I236" s="6">
        <f>MONTH(A236)</f>
        <v/>
      </c>
      <c r="J236" s="7">
        <f>INDEX('מוצרים'!$D:$D,MATCH(D236,'מוצרים'!$A:$A,0))</f>
        <v/>
      </c>
      <c r="K236" s="7">
        <f>(F236-J236)*E236</f>
        <v/>
      </c>
      <c r="L236" s="6">
        <f>IF(COUNTIF($B:$B,B236)&gt;1,"כפולה","")</f>
        <v/>
      </c>
    </row>
    <row r="237">
      <c r="A237" s="5" t="n">
        <v>46134</v>
      </c>
      <c r="B237" s="6" t="n">
        <v>50234</v>
      </c>
      <c r="C237" s="6" t="inlineStr">
        <is>
          <t>C105</t>
        </is>
      </c>
      <c r="D237" s="6" t="inlineStr">
        <is>
          <t>P06</t>
        </is>
      </c>
      <c r="E237" s="6" t="n">
        <v>28</v>
      </c>
      <c r="F237" s="7" t="n">
        <v>70</v>
      </c>
      <c r="G237" s="6">
        <f>IFERROR(INDEX('לקוחות'!$B:$B,MATCH(C237,'לקוחות'!$A:$A,0)),"לא נמצא")</f>
        <v/>
      </c>
      <c r="H237" s="7">
        <f>E237*F237</f>
        <v/>
      </c>
      <c r="I237" s="6">
        <f>MONTH(A237)</f>
        <v/>
      </c>
      <c r="J237" s="7">
        <f>INDEX('מוצרים'!$D:$D,MATCH(D237,'מוצרים'!$A:$A,0))</f>
        <v/>
      </c>
      <c r="K237" s="7">
        <f>(F237-J237)*E237</f>
        <v/>
      </c>
      <c r="L237" s="6">
        <f>IF(COUNTIF($B:$B,B237)&gt;1,"כפולה","")</f>
        <v/>
      </c>
    </row>
    <row r="238">
      <c r="A238" s="5" t="n">
        <v>46134</v>
      </c>
      <c r="B238" s="6" t="n">
        <v>50235</v>
      </c>
      <c r="C238" s="6" t="inlineStr">
        <is>
          <t>C107</t>
        </is>
      </c>
      <c r="D238" s="6" t="inlineStr">
        <is>
          <t>P01</t>
        </is>
      </c>
      <c r="E238" s="6" t="n">
        <v>25</v>
      </c>
      <c r="F238" s="7" t="n">
        <v>85</v>
      </c>
      <c r="G238" s="6">
        <f>IFERROR(INDEX('לקוחות'!$B:$B,MATCH(C238,'לקוחות'!$A:$A,0)),"לא נמצא")</f>
        <v/>
      </c>
      <c r="H238" s="7">
        <f>E238*F238</f>
        <v/>
      </c>
      <c r="I238" s="6">
        <f>MONTH(A238)</f>
        <v/>
      </c>
      <c r="J238" s="7">
        <f>INDEX('מוצרים'!$D:$D,MATCH(D238,'מוצרים'!$A:$A,0))</f>
        <v/>
      </c>
      <c r="K238" s="7">
        <f>(F238-J238)*E238</f>
        <v/>
      </c>
      <c r="L238" s="6">
        <f>IF(COUNTIF($B:$B,B238)&gt;1,"כפולה","")</f>
        <v/>
      </c>
    </row>
    <row r="239">
      <c r="A239" s="5" t="n">
        <v>46135</v>
      </c>
      <c r="B239" s="6" t="n">
        <v>50236</v>
      </c>
      <c r="C239" s="6" t="inlineStr">
        <is>
          <t>C108</t>
        </is>
      </c>
      <c r="D239" s="6" t="inlineStr">
        <is>
          <t>P05</t>
        </is>
      </c>
      <c r="E239" s="6" t="n">
        <v>40</v>
      </c>
      <c r="F239" s="7" t="n">
        <v>150</v>
      </c>
      <c r="G239" s="6">
        <f>IFERROR(INDEX('לקוחות'!$B:$B,MATCH(C239,'לקוחות'!$A:$A,0)),"לא נמצא")</f>
        <v/>
      </c>
      <c r="H239" s="7">
        <f>E239*F239</f>
        <v/>
      </c>
      <c r="I239" s="6">
        <f>MONTH(A239)</f>
        <v/>
      </c>
      <c r="J239" s="7">
        <f>INDEX('מוצרים'!$D:$D,MATCH(D239,'מוצרים'!$A:$A,0))</f>
        <v/>
      </c>
      <c r="K239" s="7">
        <f>(F239-J239)*E239</f>
        <v/>
      </c>
      <c r="L239" s="6">
        <f>IF(COUNTIF($B:$B,B239)&gt;1,"כפולה","")</f>
        <v/>
      </c>
    </row>
    <row r="240">
      <c r="A240" s="5" t="n">
        <v>46135</v>
      </c>
      <c r="B240" s="6" t="n">
        <v>50237</v>
      </c>
      <c r="C240" s="6" t="inlineStr">
        <is>
          <t>C101</t>
        </is>
      </c>
      <c r="D240" s="6" t="inlineStr">
        <is>
          <t>P08</t>
        </is>
      </c>
      <c r="E240" s="6" t="n">
        <v>1</v>
      </c>
      <c r="F240" s="7" t="n">
        <v>199</v>
      </c>
      <c r="G240" s="6">
        <f>IFERROR(INDEX('לקוחות'!$B:$B,MATCH(C240,'לקוחות'!$A:$A,0)),"לא נמצא")</f>
        <v/>
      </c>
      <c r="H240" s="7">
        <f>E240*F240</f>
        <v/>
      </c>
      <c r="I240" s="6">
        <f>MONTH(A240)</f>
        <v/>
      </c>
      <c r="J240" s="7">
        <f>INDEX('מוצרים'!$D:$D,MATCH(D240,'מוצרים'!$A:$A,0))</f>
        <v/>
      </c>
      <c r="K240" s="7">
        <f>(F240-J240)*E240</f>
        <v/>
      </c>
      <c r="L240" s="6">
        <f>IF(COUNTIF($B:$B,B240)&gt;1,"כפולה","")</f>
        <v/>
      </c>
    </row>
    <row r="241">
      <c r="A241" s="5" t="n">
        <v>46135</v>
      </c>
      <c r="B241" s="6" t="n">
        <v>50238</v>
      </c>
      <c r="C241" s="6" t="inlineStr">
        <is>
          <t>C107</t>
        </is>
      </c>
      <c r="D241" s="6" t="inlineStr">
        <is>
          <t>P03</t>
        </is>
      </c>
      <c r="E241" s="6" t="n">
        <v>24</v>
      </c>
      <c r="F241" s="7" t="n">
        <v>13</v>
      </c>
      <c r="G241" s="6">
        <f>IFERROR(INDEX('לקוחות'!$B:$B,MATCH(C241,'לקוחות'!$A:$A,0)),"לא נמצא")</f>
        <v/>
      </c>
      <c r="H241" s="7">
        <f>E241*F241</f>
        <v/>
      </c>
      <c r="I241" s="6">
        <f>MONTH(A241)</f>
        <v/>
      </c>
      <c r="J241" s="7">
        <f>INDEX('מוצרים'!$D:$D,MATCH(D241,'מוצרים'!$A:$A,0))</f>
        <v/>
      </c>
      <c r="K241" s="7">
        <f>(F241-J241)*E241</f>
        <v/>
      </c>
      <c r="L241" s="6">
        <f>IF(COUNTIF($B:$B,B241)&gt;1,"כפולה","")</f>
        <v/>
      </c>
    </row>
    <row r="242">
      <c r="A242" s="5" t="n">
        <v>46136</v>
      </c>
      <c r="B242" s="6" t="n">
        <v>50239</v>
      </c>
      <c r="C242" s="6" t="inlineStr">
        <is>
          <t>C104</t>
        </is>
      </c>
      <c r="D242" s="6" t="inlineStr">
        <is>
          <t>P07</t>
        </is>
      </c>
      <c r="E242" s="6" t="n">
        <v>20</v>
      </c>
      <c r="F242" s="7" t="n">
        <v>95</v>
      </c>
      <c r="G242" s="6">
        <f>IFERROR(INDEX('לקוחות'!$B:$B,MATCH(C242,'לקוחות'!$A:$A,0)),"לא נמצא")</f>
        <v/>
      </c>
      <c r="H242" s="7">
        <f>E242*F242</f>
        <v/>
      </c>
      <c r="I242" s="6">
        <f>MONTH(A242)</f>
        <v/>
      </c>
      <c r="J242" s="7">
        <f>INDEX('מוצרים'!$D:$D,MATCH(D242,'מוצרים'!$A:$A,0))</f>
        <v/>
      </c>
      <c r="K242" s="7">
        <f>(F242-J242)*E242</f>
        <v/>
      </c>
      <c r="L242" s="6">
        <f>IF(COUNTIF($B:$B,B242)&gt;1,"כפולה","")</f>
        <v/>
      </c>
    </row>
    <row r="243">
      <c r="A243" s="5" t="n">
        <v>46136</v>
      </c>
      <c r="B243" s="6" t="n">
        <v>50240</v>
      </c>
      <c r="C243" s="6" t="inlineStr">
        <is>
          <t>C101</t>
        </is>
      </c>
      <c r="D243" s="6" t="inlineStr">
        <is>
          <t>P06</t>
        </is>
      </c>
      <c r="E243" s="6" t="n">
        <v>23</v>
      </c>
      <c r="F243" s="7" t="n">
        <v>70</v>
      </c>
      <c r="G243" s="6">
        <f>IFERROR(INDEX('לקוחות'!$B:$B,MATCH(C243,'לקוחות'!$A:$A,0)),"לא נמצא")</f>
        <v/>
      </c>
      <c r="H243" s="7">
        <f>E243*F243</f>
        <v/>
      </c>
      <c r="I243" s="6">
        <f>MONTH(A243)</f>
        <v/>
      </c>
      <c r="J243" s="7">
        <f>INDEX('מוצרים'!$D:$D,MATCH(D243,'מוצרים'!$A:$A,0))</f>
        <v/>
      </c>
      <c r="K243" s="7">
        <f>(F243-J243)*E243</f>
        <v/>
      </c>
      <c r="L243" s="6">
        <f>IF(COUNTIF($B:$B,B243)&gt;1,"כפולה","")</f>
        <v/>
      </c>
    </row>
    <row r="244">
      <c r="A244" s="5" t="n">
        <v>46137</v>
      </c>
      <c r="B244" s="6" t="n">
        <v>50241</v>
      </c>
      <c r="C244" s="6" t="inlineStr">
        <is>
          <t>C109</t>
        </is>
      </c>
      <c r="D244" s="6" t="inlineStr">
        <is>
          <t>P05</t>
        </is>
      </c>
      <c r="E244" s="6" t="n">
        <v>1</v>
      </c>
      <c r="F244" s="7" t="n">
        <v>150</v>
      </c>
      <c r="G244" s="6">
        <f>IFERROR(INDEX('לקוחות'!$B:$B,MATCH(C244,'לקוחות'!$A:$A,0)),"לא נמצא")</f>
        <v/>
      </c>
      <c r="H244" s="7">
        <f>E244*F244</f>
        <v/>
      </c>
      <c r="I244" s="6">
        <f>MONTH(A244)</f>
        <v/>
      </c>
      <c r="J244" s="7">
        <f>INDEX('מוצרים'!$D:$D,MATCH(D244,'מוצרים'!$A:$A,0))</f>
        <v/>
      </c>
      <c r="K244" s="7">
        <f>(F244-J244)*E244</f>
        <v/>
      </c>
      <c r="L244" s="6">
        <f>IF(COUNTIF($B:$B,B244)&gt;1,"כפולה","")</f>
        <v/>
      </c>
    </row>
    <row r="245">
      <c r="A245" s="5" t="n">
        <v>46137</v>
      </c>
      <c r="B245" s="6" t="n">
        <v>50242</v>
      </c>
      <c r="C245" s="6" t="inlineStr">
        <is>
          <t>C103</t>
        </is>
      </c>
      <c r="D245" s="6" t="inlineStr">
        <is>
          <t>P04</t>
        </is>
      </c>
      <c r="E245" s="6" t="n">
        <v>20</v>
      </c>
      <c r="F245" s="7" t="n">
        <v>32</v>
      </c>
      <c r="G245" s="6">
        <f>IFERROR(INDEX('לקוחות'!$B:$B,MATCH(C245,'לקוחות'!$A:$A,0)),"לא נמצא")</f>
        <v/>
      </c>
      <c r="H245" s="7">
        <f>E245*F245</f>
        <v/>
      </c>
      <c r="I245" s="6">
        <f>MONTH(A245)</f>
        <v/>
      </c>
      <c r="J245" s="7">
        <f>INDEX('מוצרים'!$D:$D,MATCH(D245,'מוצרים'!$A:$A,0))</f>
        <v/>
      </c>
      <c r="K245" s="7">
        <f>(F245-J245)*E245</f>
        <v/>
      </c>
      <c r="L245" s="6">
        <f>IF(COUNTIF($B:$B,B245)&gt;1,"כפולה","")</f>
        <v/>
      </c>
    </row>
    <row r="246">
      <c r="A246" s="5" t="n">
        <v>46139</v>
      </c>
      <c r="B246" s="6" t="n">
        <v>50243</v>
      </c>
      <c r="C246" s="6" t="inlineStr">
        <is>
          <t>C100</t>
        </is>
      </c>
      <c r="D246" s="6" t="inlineStr">
        <is>
          <t>P05</t>
        </is>
      </c>
      <c r="E246" s="6" t="n">
        <v>33</v>
      </c>
      <c r="F246" s="7" t="n">
        <v>150</v>
      </c>
      <c r="G246" s="6">
        <f>IFERROR(INDEX('לקוחות'!$B:$B,MATCH(C246,'לקוחות'!$A:$A,0)),"לא נמצא")</f>
        <v/>
      </c>
      <c r="H246" s="7">
        <f>E246*F246</f>
        <v/>
      </c>
      <c r="I246" s="6">
        <f>MONTH(A246)</f>
        <v/>
      </c>
      <c r="J246" s="7">
        <f>INDEX('מוצרים'!$D:$D,MATCH(D246,'מוצרים'!$A:$A,0))</f>
        <v/>
      </c>
      <c r="K246" s="7">
        <f>(F246-J246)*E246</f>
        <v/>
      </c>
      <c r="L246" s="6">
        <f>IF(COUNTIF($B:$B,B246)&gt;1,"כפולה","")</f>
        <v/>
      </c>
    </row>
    <row r="247">
      <c r="A247" s="5" t="n">
        <v>46139</v>
      </c>
      <c r="B247" s="6" t="n">
        <v>50244</v>
      </c>
      <c r="C247" s="6" t="inlineStr">
        <is>
          <t>C104</t>
        </is>
      </c>
      <c r="D247" s="6" t="inlineStr">
        <is>
          <t>P07</t>
        </is>
      </c>
      <c r="E247" s="6" t="n">
        <v>36</v>
      </c>
      <c r="F247" s="7" t="n">
        <v>95</v>
      </c>
      <c r="G247" s="6">
        <f>IFERROR(INDEX('לקוחות'!$B:$B,MATCH(C247,'לקוחות'!$A:$A,0)),"לא נמצא")</f>
        <v/>
      </c>
      <c r="H247" s="7">
        <f>E247*F247</f>
        <v/>
      </c>
      <c r="I247" s="6">
        <f>MONTH(A247)</f>
        <v/>
      </c>
      <c r="J247" s="7">
        <f>INDEX('מוצרים'!$D:$D,MATCH(D247,'מוצרים'!$A:$A,0))</f>
        <v/>
      </c>
      <c r="K247" s="7">
        <f>(F247-J247)*E247</f>
        <v/>
      </c>
      <c r="L247" s="6">
        <f>IF(COUNTIF($B:$B,B247)&gt;1,"כפולה","")</f>
        <v/>
      </c>
    </row>
    <row r="248">
      <c r="A248" s="5" t="n">
        <v>46140</v>
      </c>
      <c r="B248" s="6" t="n">
        <v>50245</v>
      </c>
      <c r="C248" s="6" t="inlineStr">
        <is>
          <t>C100</t>
        </is>
      </c>
      <c r="D248" s="6" t="inlineStr">
        <is>
          <t>P05</t>
        </is>
      </c>
      <c r="E248" s="6" t="n">
        <v>13</v>
      </c>
      <c r="F248" s="7" t="n">
        <v>135</v>
      </c>
      <c r="G248" s="6">
        <f>IFERROR(INDEX('לקוחות'!$B:$B,MATCH(C248,'לקוחות'!$A:$A,0)),"לא נמצא")</f>
        <v/>
      </c>
      <c r="H248" s="7">
        <f>E248*F248</f>
        <v/>
      </c>
      <c r="I248" s="6">
        <f>MONTH(A248)</f>
        <v/>
      </c>
      <c r="J248" s="7">
        <f>INDEX('מוצרים'!$D:$D,MATCH(D248,'מוצרים'!$A:$A,0))</f>
        <v/>
      </c>
      <c r="K248" s="7">
        <f>(F248-J248)*E248</f>
        <v/>
      </c>
      <c r="L248" s="6">
        <f>IF(COUNTIF($B:$B,B248)&gt;1,"כפולה","")</f>
        <v/>
      </c>
    </row>
    <row r="249">
      <c r="A249" s="5" t="n">
        <v>46141</v>
      </c>
      <c r="B249" s="6" t="n">
        <v>50246</v>
      </c>
      <c r="C249" s="6" t="inlineStr">
        <is>
          <t>C102</t>
        </is>
      </c>
      <c r="D249" s="6" t="inlineStr">
        <is>
          <t>P01</t>
        </is>
      </c>
      <c r="E249" s="6" t="n">
        <v>17</v>
      </c>
      <c r="F249" s="7" t="n">
        <v>85</v>
      </c>
      <c r="G249" s="6">
        <f>IFERROR(INDEX('לקוחות'!$B:$B,MATCH(C249,'לקוחות'!$A:$A,0)),"לא נמצא")</f>
        <v/>
      </c>
      <c r="H249" s="7">
        <f>E249*F249</f>
        <v/>
      </c>
      <c r="I249" s="6">
        <f>MONTH(A249)</f>
        <v/>
      </c>
      <c r="J249" s="7">
        <f>INDEX('מוצרים'!$D:$D,MATCH(D249,'מוצרים'!$A:$A,0))</f>
        <v/>
      </c>
      <c r="K249" s="7">
        <f>(F249-J249)*E249</f>
        <v/>
      </c>
      <c r="L249" s="6">
        <f>IF(COUNTIF($B:$B,B249)&gt;1,"כפולה","")</f>
        <v/>
      </c>
    </row>
    <row r="250">
      <c r="A250" s="5" t="n">
        <v>46141</v>
      </c>
      <c r="B250" s="6" t="n">
        <v>50247</v>
      </c>
      <c r="C250" s="6" t="inlineStr">
        <is>
          <t>C104</t>
        </is>
      </c>
      <c r="D250" s="6" t="inlineStr">
        <is>
          <t>P07</t>
        </is>
      </c>
      <c r="E250" s="6" t="n">
        <v>8</v>
      </c>
      <c r="F250" s="7" t="n">
        <v>95</v>
      </c>
      <c r="G250" s="6">
        <f>IFERROR(INDEX('לקוחות'!$B:$B,MATCH(C250,'לקוחות'!$A:$A,0)),"לא נמצא")</f>
        <v/>
      </c>
      <c r="H250" s="7">
        <f>E250*F250</f>
        <v/>
      </c>
      <c r="I250" s="6">
        <f>MONTH(A250)</f>
        <v/>
      </c>
      <c r="J250" s="7">
        <f>INDEX('מוצרים'!$D:$D,MATCH(D250,'מוצרים'!$A:$A,0))</f>
        <v/>
      </c>
      <c r="K250" s="7">
        <f>(F250-J250)*E250</f>
        <v/>
      </c>
      <c r="L250" s="6">
        <f>IF(COUNTIF($B:$B,B250)&gt;1,"כפולה","")</f>
        <v/>
      </c>
    </row>
    <row r="251">
      <c r="A251" s="5" t="n">
        <v>46141</v>
      </c>
      <c r="B251" s="6" t="n">
        <v>50248</v>
      </c>
      <c r="C251" s="6" t="inlineStr">
        <is>
          <t>C104</t>
        </is>
      </c>
      <c r="D251" s="6" t="inlineStr">
        <is>
          <t>P07</t>
        </is>
      </c>
      <c r="E251" s="6" t="n">
        <v>33</v>
      </c>
      <c r="F251" s="7" t="n">
        <v>95</v>
      </c>
      <c r="G251" s="6">
        <f>IFERROR(INDEX('לקוחות'!$B:$B,MATCH(C251,'לקוחות'!$A:$A,0)),"לא נמצא")</f>
        <v/>
      </c>
      <c r="H251" s="7">
        <f>E251*F251</f>
        <v/>
      </c>
      <c r="I251" s="6">
        <f>MONTH(A251)</f>
        <v/>
      </c>
      <c r="J251" s="7">
        <f>INDEX('מוצרים'!$D:$D,MATCH(D251,'מוצרים'!$A:$A,0))</f>
        <v/>
      </c>
      <c r="K251" s="7">
        <f>(F251-J251)*E251</f>
        <v/>
      </c>
      <c r="L251" s="6">
        <f>IF(COUNTIF($B:$B,B251)&gt;1,"כפולה","")</f>
        <v/>
      </c>
    </row>
    <row r="252">
      <c r="A252" s="5" t="n">
        <v>46143</v>
      </c>
      <c r="B252" s="6" t="n">
        <v>50249</v>
      </c>
      <c r="C252" s="6" t="inlineStr">
        <is>
          <t>C112</t>
        </is>
      </c>
      <c r="D252" s="6" t="inlineStr">
        <is>
          <t>P01</t>
        </is>
      </c>
      <c r="E252" s="6" t="n">
        <v>23</v>
      </c>
      <c r="F252" s="7" t="n">
        <v>85</v>
      </c>
      <c r="G252" s="6">
        <f>IFERROR(INDEX('לקוחות'!$B:$B,MATCH(C252,'לקוחות'!$A:$A,0)),"לא נמצא")</f>
        <v/>
      </c>
      <c r="H252" s="7">
        <f>E252*F252</f>
        <v/>
      </c>
      <c r="I252" s="6">
        <f>MONTH(A252)</f>
        <v/>
      </c>
      <c r="J252" s="7">
        <f>INDEX('מוצרים'!$D:$D,MATCH(D252,'מוצרים'!$A:$A,0))</f>
        <v/>
      </c>
      <c r="K252" s="7">
        <f>(F252-J252)*E252</f>
        <v/>
      </c>
      <c r="L252" s="6">
        <f>IF(COUNTIF($B:$B,B252)&gt;1,"כפולה","")</f>
        <v/>
      </c>
    </row>
    <row r="253">
      <c r="A253" s="5" t="n">
        <v>46143</v>
      </c>
      <c r="B253" s="6" t="n">
        <v>50250</v>
      </c>
      <c r="C253" s="6" t="inlineStr">
        <is>
          <t>C103</t>
        </is>
      </c>
      <c r="D253" s="6" t="inlineStr">
        <is>
          <t>P08</t>
        </is>
      </c>
      <c r="E253" s="6" t="n">
        <v>36</v>
      </c>
      <c r="F253" s="7" t="n">
        <v>199</v>
      </c>
      <c r="G253" s="6">
        <f>IFERROR(INDEX('לקוחות'!$B:$B,MATCH(C253,'לקוחות'!$A:$A,0)),"לא נמצא")</f>
        <v/>
      </c>
      <c r="H253" s="7">
        <f>E253*F253</f>
        <v/>
      </c>
      <c r="I253" s="6">
        <f>MONTH(A253)</f>
        <v/>
      </c>
      <c r="J253" s="7">
        <f>INDEX('מוצרים'!$D:$D,MATCH(D253,'מוצרים'!$A:$A,0))</f>
        <v/>
      </c>
      <c r="K253" s="7">
        <f>(F253-J253)*E253</f>
        <v/>
      </c>
      <c r="L253" s="6">
        <f>IF(COUNTIF($B:$B,B253)&gt;1,"כפולה","")</f>
        <v/>
      </c>
    </row>
    <row r="254">
      <c r="A254" s="5" t="n">
        <v>46143</v>
      </c>
      <c r="B254" s="6" t="n">
        <v>50251</v>
      </c>
      <c r="C254" s="6" t="inlineStr">
        <is>
          <t>C107</t>
        </is>
      </c>
      <c r="D254" s="6" t="inlineStr">
        <is>
          <t>P05</t>
        </is>
      </c>
      <c r="E254" s="6" t="n">
        <v>18</v>
      </c>
      <c r="F254" s="7" t="n">
        <v>150</v>
      </c>
      <c r="G254" s="6">
        <f>IFERROR(INDEX('לקוחות'!$B:$B,MATCH(C254,'לקוחות'!$A:$A,0)),"לא נמצא")</f>
        <v/>
      </c>
      <c r="H254" s="7">
        <f>E254*F254</f>
        <v/>
      </c>
      <c r="I254" s="6">
        <f>MONTH(A254)</f>
        <v/>
      </c>
      <c r="J254" s="7">
        <f>INDEX('מוצרים'!$D:$D,MATCH(D254,'מוצרים'!$A:$A,0))</f>
        <v/>
      </c>
      <c r="K254" s="7">
        <f>(F254-J254)*E254</f>
        <v/>
      </c>
      <c r="L254" s="6">
        <f>IF(COUNTIF($B:$B,B254)&gt;1,"כפולה","")</f>
        <v/>
      </c>
    </row>
    <row r="255">
      <c r="A255" s="5" t="n">
        <v>46143</v>
      </c>
      <c r="B255" s="6" t="n">
        <v>50252</v>
      </c>
      <c r="C255" s="6" t="inlineStr">
        <is>
          <t>C103</t>
        </is>
      </c>
      <c r="D255" s="6" t="inlineStr">
        <is>
          <t>P06</t>
        </is>
      </c>
      <c r="E255" s="6" t="n">
        <v>37</v>
      </c>
      <c r="F255" s="7" t="n">
        <v>70</v>
      </c>
      <c r="G255" s="6">
        <f>IFERROR(INDEX('לקוחות'!$B:$B,MATCH(C255,'לקוחות'!$A:$A,0)),"לא נמצא")</f>
        <v/>
      </c>
      <c r="H255" s="7">
        <f>E255*F255</f>
        <v/>
      </c>
      <c r="I255" s="6">
        <f>MONTH(A255)</f>
        <v/>
      </c>
      <c r="J255" s="7">
        <f>INDEX('מוצרים'!$D:$D,MATCH(D255,'מוצרים'!$A:$A,0))</f>
        <v/>
      </c>
      <c r="K255" s="7">
        <f>(F255-J255)*E255</f>
        <v/>
      </c>
      <c r="L255" s="6">
        <f>IF(COUNTIF($B:$B,B255)&gt;1,"כפולה","")</f>
        <v/>
      </c>
    </row>
    <row r="256">
      <c r="A256" s="5" t="n">
        <v>46143</v>
      </c>
      <c r="B256" s="6" t="n">
        <v>50253</v>
      </c>
      <c r="C256" s="6" t="inlineStr">
        <is>
          <t>C102</t>
        </is>
      </c>
      <c r="D256" s="6" t="inlineStr">
        <is>
          <t>P08</t>
        </is>
      </c>
      <c r="E256" s="6" t="n">
        <v>29</v>
      </c>
      <c r="F256" s="7" t="n">
        <v>199</v>
      </c>
      <c r="G256" s="6">
        <f>IFERROR(INDEX('לקוחות'!$B:$B,MATCH(C256,'לקוחות'!$A:$A,0)),"לא נמצא")</f>
        <v/>
      </c>
      <c r="H256" s="7">
        <f>E256*F256</f>
        <v/>
      </c>
      <c r="I256" s="6">
        <f>MONTH(A256)</f>
        <v/>
      </c>
      <c r="J256" s="7">
        <f>INDEX('מוצרים'!$D:$D,MATCH(D256,'מוצרים'!$A:$A,0))</f>
        <v/>
      </c>
      <c r="K256" s="7">
        <f>(F256-J256)*E256</f>
        <v/>
      </c>
      <c r="L256" s="6">
        <f>IF(COUNTIF($B:$B,B256)&gt;1,"כפולה","")</f>
        <v/>
      </c>
    </row>
    <row r="257">
      <c r="A257" s="5" t="n">
        <v>46144</v>
      </c>
      <c r="B257" s="6" t="n">
        <v>50254</v>
      </c>
      <c r="C257" s="6" t="inlineStr">
        <is>
          <t>C107</t>
        </is>
      </c>
      <c r="D257" s="6" t="inlineStr">
        <is>
          <t>P05</t>
        </is>
      </c>
      <c r="E257" s="6" t="n">
        <v>16</v>
      </c>
      <c r="F257" s="7" t="n">
        <v>150</v>
      </c>
      <c r="G257" s="6">
        <f>IFERROR(INDEX('לקוחות'!$B:$B,MATCH(C257,'לקוחות'!$A:$A,0)),"לא נמצא")</f>
        <v/>
      </c>
      <c r="H257" s="7">
        <f>E257*F257</f>
        <v/>
      </c>
      <c r="I257" s="6">
        <f>MONTH(A257)</f>
        <v/>
      </c>
      <c r="J257" s="7">
        <f>INDEX('מוצרים'!$D:$D,MATCH(D257,'מוצרים'!$A:$A,0))</f>
        <v/>
      </c>
      <c r="K257" s="7">
        <f>(F257-J257)*E257</f>
        <v/>
      </c>
      <c r="L257" s="6">
        <f>IF(COUNTIF($B:$B,B257)&gt;1,"כפולה","")</f>
        <v/>
      </c>
    </row>
    <row r="258">
      <c r="A258" s="5" t="n">
        <v>46145</v>
      </c>
      <c r="B258" s="6" t="n">
        <v>50255</v>
      </c>
      <c r="C258" s="6" t="inlineStr">
        <is>
          <t>C101</t>
        </is>
      </c>
      <c r="D258" s="6" t="inlineStr">
        <is>
          <t>P02</t>
        </is>
      </c>
      <c r="E258" s="6" t="n">
        <v>26</v>
      </c>
      <c r="F258" s="7" t="n">
        <v>110</v>
      </c>
      <c r="G258" s="6">
        <f>IFERROR(INDEX('לקוחות'!$B:$B,MATCH(C258,'לקוחות'!$A:$A,0)),"לא נמצא")</f>
        <v/>
      </c>
      <c r="H258" s="7">
        <f>E258*F258</f>
        <v/>
      </c>
      <c r="I258" s="6">
        <f>MONTH(A258)</f>
        <v/>
      </c>
      <c r="J258" s="7">
        <f>INDEX('מוצרים'!$D:$D,MATCH(D258,'מוצרים'!$A:$A,0))</f>
        <v/>
      </c>
      <c r="K258" s="7">
        <f>(F258-J258)*E258</f>
        <v/>
      </c>
      <c r="L258" s="6">
        <f>IF(COUNTIF($B:$B,B258)&gt;1,"כפולה","")</f>
        <v/>
      </c>
    </row>
    <row r="259">
      <c r="A259" s="5" t="n">
        <v>46145</v>
      </c>
      <c r="B259" s="6" t="n">
        <v>50256</v>
      </c>
      <c r="C259" s="6" t="inlineStr">
        <is>
          <t>C102</t>
        </is>
      </c>
      <c r="D259" s="6" t="inlineStr">
        <is>
          <t>P03</t>
        </is>
      </c>
      <c r="E259" s="6" t="n">
        <v>5</v>
      </c>
      <c r="F259" s="7" t="n">
        <v>13</v>
      </c>
      <c r="G259" s="6">
        <f>IFERROR(INDEX('לקוחות'!$B:$B,MATCH(C259,'לקוחות'!$A:$A,0)),"לא נמצא")</f>
        <v/>
      </c>
      <c r="H259" s="7">
        <f>E259*F259</f>
        <v/>
      </c>
      <c r="I259" s="6">
        <f>MONTH(A259)</f>
        <v/>
      </c>
      <c r="J259" s="7">
        <f>INDEX('מוצרים'!$D:$D,MATCH(D259,'מוצרים'!$A:$A,0))</f>
        <v/>
      </c>
      <c r="K259" s="7">
        <f>(F259-J259)*E259</f>
        <v/>
      </c>
      <c r="L259" s="6">
        <f>IF(COUNTIF($B:$B,B259)&gt;1,"כפולה","")</f>
        <v/>
      </c>
    </row>
    <row r="260">
      <c r="A260" s="5" t="n">
        <v>46145</v>
      </c>
      <c r="B260" s="6" t="n">
        <v>50257</v>
      </c>
      <c r="C260" s="6" t="inlineStr">
        <is>
          <t>C108</t>
        </is>
      </c>
      <c r="D260" s="6" t="inlineStr">
        <is>
          <t>P07</t>
        </is>
      </c>
      <c r="E260" s="6" t="n">
        <v>27</v>
      </c>
      <c r="F260" s="7" t="n">
        <v>95</v>
      </c>
      <c r="G260" s="6">
        <f>IFERROR(INDEX('לקוחות'!$B:$B,MATCH(C260,'לקוחות'!$A:$A,0)),"לא נמצא")</f>
        <v/>
      </c>
      <c r="H260" s="7">
        <f>E260*F260</f>
        <v/>
      </c>
      <c r="I260" s="6">
        <f>MONTH(A260)</f>
        <v/>
      </c>
      <c r="J260" s="7">
        <f>INDEX('מוצרים'!$D:$D,MATCH(D260,'מוצרים'!$A:$A,0))</f>
        <v/>
      </c>
      <c r="K260" s="7">
        <f>(F260-J260)*E260</f>
        <v/>
      </c>
      <c r="L260" s="6">
        <f>IF(COUNTIF($B:$B,B260)&gt;1,"כפולה","")</f>
        <v/>
      </c>
    </row>
    <row r="261">
      <c r="A261" s="5" t="n">
        <v>46146</v>
      </c>
      <c r="B261" s="6" t="n">
        <v>50258</v>
      </c>
      <c r="C261" s="6" t="inlineStr">
        <is>
          <t>C105</t>
        </is>
      </c>
      <c r="D261" s="6" t="inlineStr">
        <is>
          <t>P06</t>
        </is>
      </c>
      <c r="E261" s="6" t="n">
        <v>36</v>
      </c>
      <c r="F261" s="7" t="n">
        <v>70</v>
      </c>
      <c r="G261" s="6">
        <f>IFERROR(INDEX('לקוחות'!$B:$B,MATCH(C261,'לקוחות'!$A:$A,0)),"לא נמצא")</f>
        <v/>
      </c>
      <c r="H261" s="7">
        <f>E261*F261</f>
        <v/>
      </c>
      <c r="I261" s="6">
        <f>MONTH(A261)</f>
        <v/>
      </c>
      <c r="J261" s="7">
        <f>INDEX('מוצרים'!$D:$D,MATCH(D261,'מוצרים'!$A:$A,0))</f>
        <v/>
      </c>
      <c r="K261" s="7">
        <f>(F261-J261)*E261</f>
        <v/>
      </c>
      <c r="L261" s="6">
        <f>IF(COUNTIF($B:$B,B261)&gt;1,"כפולה","")</f>
        <v/>
      </c>
    </row>
    <row r="262">
      <c r="A262" s="5" t="n">
        <v>46146</v>
      </c>
      <c r="B262" s="6" t="n">
        <v>50259</v>
      </c>
      <c r="C262" s="6" t="inlineStr">
        <is>
          <t>C104</t>
        </is>
      </c>
      <c r="D262" s="6" t="inlineStr">
        <is>
          <t>P06</t>
        </is>
      </c>
      <c r="E262" s="6" t="n">
        <v>8</v>
      </c>
      <c r="F262" s="7" t="n">
        <v>70</v>
      </c>
      <c r="G262" s="6">
        <f>IFERROR(INDEX('לקוחות'!$B:$B,MATCH(C262,'לקוחות'!$A:$A,0)),"לא נמצא")</f>
        <v/>
      </c>
      <c r="H262" s="7">
        <f>E262*F262</f>
        <v/>
      </c>
      <c r="I262" s="6">
        <f>MONTH(A262)</f>
        <v/>
      </c>
      <c r="J262" s="7">
        <f>INDEX('מוצרים'!$D:$D,MATCH(D262,'מוצרים'!$A:$A,0))</f>
        <v/>
      </c>
      <c r="K262" s="7">
        <f>(F262-J262)*E262</f>
        <v/>
      </c>
      <c r="L262" s="6">
        <f>IF(COUNTIF($B:$B,B262)&gt;1,"כפולה","")</f>
        <v/>
      </c>
    </row>
    <row r="263">
      <c r="A263" s="5" t="n">
        <v>46146</v>
      </c>
      <c r="B263" s="6" t="n">
        <v>50260</v>
      </c>
      <c r="C263" s="6" t="inlineStr">
        <is>
          <t>C105</t>
        </is>
      </c>
      <c r="D263" s="6" t="inlineStr">
        <is>
          <t>P02</t>
        </is>
      </c>
      <c r="E263" s="6" t="n">
        <v>34</v>
      </c>
      <c r="F263" s="7" t="n">
        <v>110</v>
      </c>
      <c r="G263" s="6">
        <f>IFERROR(INDEX('לקוחות'!$B:$B,MATCH(C263,'לקוחות'!$A:$A,0)),"לא נמצא")</f>
        <v/>
      </c>
      <c r="H263" s="7">
        <f>E263*F263</f>
        <v/>
      </c>
      <c r="I263" s="6">
        <f>MONTH(A263)</f>
        <v/>
      </c>
      <c r="J263" s="7">
        <f>INDEX('מוצרים'!$D:$D,MATCH(D263,'מוצרים'!$A:$A,0))</f>
        <v/>
      </c>
      <c r="K263" s="7">
        <f>(F263-J263)*E263</f>
        <v/>
      </c>
      <c r="L263" s="6">
        <f>IF(COUNTIF($B:$B,B263)&gt;1,"כפולה","")</f>
        <v/>
      </c>
    </row>
    <row r="264">
      <c r="A264" s="5" t="n">
        <v>46147</v>
      </c>
      <c r="B264" s="6" t="n">
        <v>50261</v>
      </c>
      <c r="C264" s="6" t="inlineStr">
        <is>
          <t>C107</t>
        </is>
      </c>
      <c r="D264" s="6" t="inlineStr">
        <is>
          <t>P04</t>
        </is>
      </c>
      <c r="E264" s="6" t="n">
        <v>26</v>
      </c>
      <c r="F264" s="7" t="n">
        <v>32</v>
      </c>
      <c r="G264" s="6">
        <f>IFERROR(INDEX('לקוחות'!$B:$B,MATCH(C264,'לקוחות'!$A:$A,0)),"לא נמצא")</f>
        <v/>
      </c>
      <c r="H264" s="7">
        <f>E264*F264</f>
        <v/>
      </c>
      <c r="I264" s="6">
        <f>MONTH(A264)</f>
        <v/>
      </c>
      <c r="J264" s="7">
        <f>INDEX('מוצרים'!$D:$D,MATCH(D264,'מוצרים'!$A:$A,0))</f>
        <v/>
      </c>
      <c r="K264" s="7">
        <f>(F264-J264)*E264</f>
        <v/>
      </c>
      <c r="L264" s="6">
        <f>IF(COUNTIF($B:$B,B264)&gt;1,"כפולה","")</f>
        <v/>
      </c>
    </row>
    <row r="265">
      <c r="A265" s="5" t="n">
        <v>46147</v>
      </c>
      <c r="B265" s="6" t="n">
        <v>50262</v>
      </c>
      <c r="C265" s="6" t="inlineStr">
        <is>
          <t>C102</t>
        </is>
      </c>
      <c r="D265" s="6" t="inlineStr">
        <is>
          <t>P04</t>
        </is>
      </c>
      <c r="E265" s="6" t="n">
        <v>19</v>
      </c>
      <c r="F265" s="7" t="n">
        <v>32</v>
      </c>
      <c r="G265" s="6">
        <f>IFERROR(INDEX('לקוחות'!$B:$B,MATCH(C265,'לקוחות'!$A:$A,0)),"לא נמצא")</f>
        <v/>
      </c>
      <c r="H265" s="7">
        <f>E265*F265</f>
        <v/>
      </c>
      <c r="I265" s="6">
        <f>MONTH(A265)</f>
        <v/>
      </c>
      <c r="J265" s="7">
        <f>INDEX('מוצרים'!$D:$D,MATCH(D265,'מוצרים'!$A:$A,0))</f>
        <v/>
      </c>
      <c r="K265" s="7">
        <f>(F265-J265)*E265</f>
        <v/>
      </c>
      <c r="L265" s="6">
        <f>IF(COUNTIF($B:$B,B265)&gt;1,"כפולה","")</f>
        <v/>
      </c>
    </row>
    <row r="266">
      <c r="A266" s="5" t="n">
        <v>46147</v>
      </c>
      <c r="B266" s="6" t="n">
        <v>50263</v>
      </c>
      <c r="C266" s="6" t="inlineStr">
        <is>
          <t>C108</t>
        </is>
      </c>
      <c r="D266" s="6" t="inlineStr">
        <is>
          <t>P01</t>
        </is>
      </c>
      <c r="E266" s="6" t="n">
        <v>40</v>
      </c>
      <c r="F266" s="7" t="n">
        <v>76</v>
      </c>
      <c r="G266" s="6">
        <f>IFERROR(INDEX('לקוחות'!$B:$B,MATCH(C266,'לקוחות'!$A:$A,0)),"לא נמצא")</f>
        <v/>
      </c>
      <c r="H266" s="7">
        <f>E266*F266</f>
        <v/>
      </c>
      <c r="I266" s="6">
        <f>MONTH(A266)</f>
        <v/>
      </c>
      <c r="J266" s="7">
        <f>INDEX('מוצרים'!$D:$D,MATCH(D266,'מוצרים'!$A:$A,0))</f>
        <v/>
      </c>
      <c r="K266" s="7">
        <f>(F266-J266)*E266</f>
        <v/>
      </c>
      <c r="L266" s="6">
        <f>IF(COUNTIF($B:$B,B266)&gt;1,"כפולה","")</f>
        <v/>
      </c>
    </row>
    <row r="267">
      <c r="A267" s="5" t="n">
        <v>46149</v>
      </c>
      <c r="B267" s="6" t="n">
        <v>50264</v>
      </c>
      <c r="C267" s="6" t="inlineStr">
        <is>
          <t>C107</t>
        </is>
      </c>
      <c r="D267" s="6" t="inlineStr">
        <is>
          <t>P02</t>
        </is>
      </c>
      <c r="E267" s="6" t="n">
        <v>39</v>
      </c>
      <c r="F267" s="7" t="n">
        <v>99</v>
      </c>
      <c r="G267" s="6">
        <f>IFERROR(INDEX('לקוחות'!$B:$B,MATCH(C267,'לקוחות'!$A:$A,0)),"לא נמצא")</f>
        <v/>
      </c>
      <c r="H267" s="7">
        <f>E267*F267</f>
        <v/>
      </c>
      <c r="I267" s="6">
        <f>MONTH(A267)</f>
        <v/>
      </c>
      <c r="J267" s="7">
        <f>INDEX('מוצרים'!$D:$D,MATCH(D267,'מוצרים'!$A:$A,0))</f>
        <v/>
      </c>
      <c r="K267" s="7">
        <f>(F267-J267)*E267</f>
        <v/>
      </c>
      <c r="L267" s="6">
        <f>IF(COUNTIF($B:$B,B267)&gt;1,"כפולה","")</f>
        <v/>
      </c>
    </row>
    <row r="268">
      <c r="A268" s="5" t="n">
        <v>46149</v>
      </c>
      <c r="B268" s="6" t="n">
        <v>50265</v>
      </c>
      <c r="C268" s="6" t="inlineStr">
        <is>
          <t>C109</t>
        </is>
      </c>
      <c r="D268" s="6" t="inlineStr">
        <is>
          <t>P08</t>
        </is>
      </c>
      <c r="E268" s="6" t="n">
        <v>19</v>
      </c>
      <c r="F268" s="7" t="n">
        <v>199</v>
      </c>
      <c r="G268" s="6">
        <f>IFERROR(INDEX('לקוחות'!$B:$B,MATCH(C268,'לקוחות'!$A:$A,0)),"לא נמצא")</f>
        <v/>
      </c>
      <c r="H268" s="7">
        <f>E268*F268</f>
        <v/>
      </c>
      <c r="I268" s="6">
        <f>MONTH(A268)</f>
        <v/>
      </c>
      <c r="J268" s="7">
        <f>INDEX('מוצרים'!$D:$D,MATCH(D268,'מוצרים'!$A:$A,0))</f>
        <v/>
      </c>
      <c r="K268" s="7">
        <f>(F268-J268)*E268</f>
        <v/>
      </c>
      <c r="L268" s="6">
        <f>IF(COUNTIF($B:$B,B268)&gt;1,"כפולה","")</f>
        <v/>
      </c>
    </row>
    <row r="269">
      <c r="A269" s="5" t="n">
        <v>46150</v>
      </c>
      <c r="B269" s="6" t="n">
        <v>50266</v>
      </c>
      <c r="C269" s="6" t="inlineStr">
        <is>
          <t>C109</t>
        </is>
      </c>
      <c r="D269" s="6" t="inlineStr">
        <is>
          <t>P01</t>
        </is>
      </c>
      <c r="E269" s="6" t="n">
        <v>33</v>
      </c>
      <c r="F269" s="7" t="n">
        <v>85</v>
      </c>
      <c r="G269" s="6">
        <f>IFERROR(INDEX('לקוחות'!$B:$B,MATCH(C269,'לקוחות'!$A:$A,0)),"לא נמצא")</f>
        <v/>
      </c>
      <c r="H269" s="7">
        <f>E269*F269</f>
        <v/>
      </c>
      <c r="I269" s="6">
        <f>MONTH(A269)</f>
        <v/>
      </c>
      <c r="J269" s="7">
        <f>INDEX('מוצרים'!$D:$D,MATCH(D269,'מוצרים'!$A:$A,0))</f>
        <v/>
      </c>
      <c r="K269" s="7">
        <f>(F269-J269)*E269</f>
        <v/>
      </c>
      <c r="L269" s="6">
        <f>IF(COUNTIF($B:$B,B269)&gt;1,"כפולה","")</f>
        <v/>
      </c>
    </row>
    <row r="270">
      <c r="A270" s="5" t="n">
        <v>46150</v>
      </c>
      <c r="B270" s="6" t="n">
        <v>50267</v>
      </c>
      <c r="C270" s="6" t="inlineStr">
        <is>
          <t>C107</t>
        </is>
      </c>
      <c r="D270" s="6" t="inlineStr">
        <is>
          <t>P06</t>
        </is>
      </c>
      <c r="E270" s="6" t="n">
        <v>34</v>
      </c>
      <c r="F270" s="7" t="n">
        <v>70</v>
      </c>
      <c r="G270" s="6">
        <f>IFERROR(INDEX('לקוחות'!$B:$B,MATCH(C270,'לקוחות'!$A:$A,0)),"לא נמצא")</f>
        <v/>
      </c>
      <c r="H270" s="7">
        <f>E270*F270</f>
        <v/>
      </c>
      <c r="I270" s="6">
        <f>MONTH(A270)</f>
        <v/>
      </c>
      <c r="J270" s="7">
        <f>INDEX('מוצרים'!$D:$D,MATCH(D270,'מוצרים'!$A:$A,0))</f>
        <v/>
      </c>
      <c r="K270" s="7">
        <f>(F270-J270)*E270</f>
        <v/>
      </c>
      <c r="L270" s="6">
        <f>IF(COUNTIF($B:$B,B270)&gt;1,"כפולה","")</f>
        <v/>
      </c>
    </row>
    <row r="271">
      <c r="A271" s="5" t="n">
        <v>46150</v>
      </c>
      <c r="B271" s="6" t="n">
        <v>50268</v>
      </c>
      <c r="C271" s="6" t="inlineStr">
        <is>
          <t>C108</t>
        </is>
      </c>
      <c r="D271" s="6" t="inlineStr">
        <is>
          <t>P08</t>
        </is>
      </c>
      <c r="E271" s="6" t="n">
        <v>32</v>
      </c>
      <c r="F271" s="7" t="n">
        <v>199</v>
      </c>
      <c r="G271" s="6">
        <f>IFERROR(INDEX('לקוחות'!$B:$B,MATCH(C271,'לקוחות'!$A:$A,0)),"לא נמצא")</f>
        <v/>
      </c>
      <c r="H271" s="7">
        <f>E271*F271</f>
        <v/>
      </c>
      <c r="I271" s="6">
        <f>MONTH(A271)</f>
        <v/>
      </c>
      <c r="J271" s="7">
        <f>INDEX('מוצרים'!$D:$D,MATCH(D271,'מוצרים'!$A:$A,0))</f>
        <v/>
      </c>
      <c r="K271" s="7">
        <f>(F271-J271)*E271</f>
        <v/>
      </c>
      <c r="L271" s="6">
        <f>IF(COUNTIF($B:$B,B271)&gt;1,"כפולה","")</f>
        <v/>
      </c>
    </row>
    <row r="272">
      <c r="A272" s="5" t="n">
        <v>46150</v>
      </c>
      <c r="B272" s="6" t="n">
        <v>50269</v>
      </c>
      <c r="C272" s="6" t="inlineStr">
        <is>
          <t>C100</t>
        </is>
      </c>
      <c r="D272" s="6" t="inlineStr">
        <is>
          <t>P02</t>
        </is>
      </c>
      <c r="E272" s="6" t="n">
        <v>26</v>
      </c>
      <c r="F272" s="7" t="n">
        <v>110</v>
      </c>
      <c r="G272" s="6">
        <f>IFERROR(INDEX('לקוחות'!$B:$B,MATCH(C272,'לקוחות'!$A:$A,0)),"לא נמצא")</f>
        <v/>
      </c>
      <c r="H272" s="7">
        <f>E272*F272</f>
        <v/>
      </c>
      <c r="I272" s="6">
        <f>MONTH(A272)</f>
        <v/>
      </c>
      <c r="J272" s="7">
        <f>INDEX('מוצרים'!$D:$D,MATCH(D272,'מוצרים'!$A:$A,0))</f>
        <v/>
      </c>
      <c r="K272" s="7">
        <f>(F272-J272)*E272</f>
        <v/>
      </c>
      <c r="L272" s="6">
        <f>IF(COUNTIF($B:$B,B272)&gt;1,"כפולה","")</f>
        <v/>
      </c>
    </row>
    <row r="273">
      <c r="A273" s="5" t="n">
        <v>46151</v>
      </c>
      <c r="B273" s="6" t="n">
        <v>50270</v>
      </c>
      <c r="C273" s="6" t="inlineStr">
        <is>
          <t>C102</t>
        </is>
      </c>
      <c r="D273" s="6" t="inlineStr">
        <is>
          <t>P01</t>
        </is>
      </c>
      <c r="E273" s="6" t="n">
        <v>29</v>
      </c>
      <c r="F273" s="7" t="n">
        <v>85</v>
      </c>
      <c r="G273" s="6">
        <f>IFERROR(INDEX('לקוחות'!$B:$B,MATCH(C273,'לקוחות'!$A:$A,0)),"לא נמצא")</f>
        <v/>
      </c>
      <c r="H273" s="7">
        <f>E273*F273</f>
        <v/>
      </c>
      <c r="I273" s="6">
        <f>MONTH(A273)</f>
        <v/>
      </c>
      <c r="J273" s="7">
        <f>INDEX('מוצרים'!$D:$D,MATCH(D273,'מוצרים'!$A:$A,0))</f>
        <v/>
      </c>
      <c r="K273" s="7">
        <f>(F273-J273)*E273</f>
        <v/>
      </c>
      <c r="L273" s="6">
        <f>IF(COUNTIF($B:$B,B273)&gt;1,"כפולה","")</f>
        <v/>
      </c>
    </row>
    <row r="274">
      <c r="A274" s="5" t="n">
        <v>46152</v>
      </c>
      <c r="B274" s="6" t="n">
        <v>50271</v>
      </c>
      <c r="C274" s="6" t="inlineStr">
        <is>
          <t>C101</t>
        </is>
      </c>
      <c r="D274" s="6" t="inlineStr">
        <is>
          <t>P05</t>
        </is>
      </c>
      <c r="E274" s="6" t="n">
        <v>33</v>
      </c>
      <c r="F274" s="7" t="n">
        <v>150</v>
      </c>
      <c r="G274" s="6">
        <f>IFERROR(INDEX('לקוחות'!$B:$B,MATCH(C274,'לקוחות'!$A:$A,0)),"לא נמצא")</f>
        <v/>
      </c>
      <c r="H274" s="7">
        <f>E274*F274</f>
        <v/>
      </c>
      <c r="I274" s="6">
        <f>MONTH(A274)</f>
        <v/>
      </c>
      <c r="J274" s="7">
        <f>INDEX('מוצרים'!$D:$D,MATCH(D274,'מוצרים'!$A:$A,0))</f>
        <v/>
      </c>
      <c r="K274" s="7">
        <f>(F274-J274)*E274</f>
        <v/>
      </c>
      <c r="L274" s="6">
        <f>IF(COUNTIF($B:$B,B274)&gt;1,"כפולה","")</f>
        <v/>
      </c>
    </row>
    <row r="275">
      <c r="A275" s="5" t="n">
        <v>46152</v>
      </c>
      <c r="B275" s="6" t="n">
        <v>50272</v>
      </c>
      <c r="C275" s="6" t="inlineStr">
        <is>
          <t>C106</t>
        </is>
      </c>
      <c r="D275" s="6" t="inlineStr">
        <is>
          <t>P08</t>
        </is>
      </c>
      <c r="E275" s="6" t="n">
        <v>11</v>
      </c>
      <c r="F275" s="7" t="n">
        <v>199</v>
      </c>
      <c r="G275" s="6">
        <f>IFERROR(INDEX('לקוחות'!$B:$B,MATCH(C275,'לקוחות'!$A:$A,0)),"לא נמצא")</f>
        <v/>
      </c>
      <c r="H275" s="7">
        <f>E275*F275</f>
        <v/>
      </c>
      <c r="I275" s="6">
        <f>MONTH(A275)</f>
        <v/>
      </c>
      <c r="J275" s="7">
        <f>INDEX('מוצרים'!$D:$D,MATCH(D275,'מוצרים'!$A:$A,0))</f>
        <v/>
      </c>
      <c r="K275" s="7">
        <f>(F275-J275)*E275</f>
        <v/>
      </c>
      <c r="L275" s="6">
        <f>IF(COUNTIF($B:$B,B275)&gt;1,"כפולה","")</f>
        <v/>
      </c>
    </row>
    <row r="276">
      <c r="A276" s="5" t="n">
        <v>46153</v>
      </c>
      <c r="B276" s="6" t="n">
        <v>50273</v>
      </c>
      <c r="C276" s="6" t="inlineStr">
        <is>
          <t>C101</t>
        </is>
      </c>
      <c r="D276" s="6" t="inlineStr">
        <is>
          <t>P07</t>
        </is>
      </c>
      <c r="E276" s="6" t="n">
        <v>37</v>
      </c>
      <c r="F276" s="7" t="n">
        <v>95</v>
      </c>
      <c r="G276" s="6">
        <f>IFERROR(INDEX('לקוחות'!$B:$B,MATCH(C276,'לקוחות'!$A:$A,0)),"לא נמצא")</f>
        <v/>
      </c>
      <c r="H276" s="7">
        <f>E276*F276</f>
        <v/>
      </c>
      <c r="I276" s="6">
        <f>MONTH(A276)</f>
        <v/>
      </c>
      <c r="J276" s="7">
        <f>INDEX('מוצרים'!$D:$D,MATCH(D276,'מוצרים'!$A:$A,0))</f>
        <v/>
      </c>
      <c r="K276" s="7">
        <f>(F276-J276)*E276</f>
        <v/>
      </c>
      <c r="L276" s="6">
        <f>IF(COUNTIF($B:$B,B276)&gt;1,"כפולה","")</f>
        <v/>
      </c>
    </row>
    <row r="277">
      <c r="A277" s="5" t="n">
        <v>46154</v>
      </c>
      <c r="B277" s="6" t="n">
        <v>50274</v>
      </c>
      <c r="C277" s="6" t="inlineStr">
        <is>
          <t>C101</t>
        </is>
      </c>
      <c r="D277" s="6" t="inlineStr">
        <is>
          <t>P06</t>
        </is>
      </c>
      <c r="E277" s="6" t="n">
        <v>28</v>
      </c>
      <c r="F277" s="7" t="n">
        <v>70</v>
      </c>
      <c r="G277" s="6">
        <f>IFERROR(INDEX('לקוחות'!$B:$B,MATCH(C277,'לקוחות'!$A:$A,0)),"לא נמצא")</f>
        <v/>
      </c>
      <c r="H277" s="7">
        <f>E277*F277</f>
        <v/>
      </c>
      <c r="I277" s="6">
        <f>MONTH(A277)</f>
        <v/>
      </c>
      <c r="J277" s="7">
        <f>INDEX('מוצרים'!$D:$D,MATCH(D277,'מוצרים'!$A:$A,0))</f>
        <v/>
      </c>
      <c r="K277" s="7">
        <f>(F277-J277)*E277</f>
        <v/>
      </c>
      <c r="L277" s="6">
        <f>IF(COUNTIF($B:$B,B277)&gt;1,"כפולה","")</f>
        <v/>
      </c>
    </row>
    <row r="278">
      <c r="A278" s="5" t="n">
        <v>46154</v>
      </c>
      <c r="B278" s="6" t="n">
        <v>50275</v>
      </c>
      <c r="C278" s="6" t="inlineStr">
        <is>
          <t>C102</t>
        </is>
      </c>
      <c r="D278" s="6" t="inlineStr">
        <is>
          <t>P07</t>
        </is>
      </c>
      <c r="E278" s="6" t="n">
        <v>6</v>
      </c>
      <c r="F278" s="7" t="n">
        <v>95</v>
      </c>
      <c r="G278" s="6">
        <f>IFERROR(INDEX('לקוחות'!$B:$B,MATCH(C278,'לקוחות'!$A:$A,0)),"לא נמצא")</f>
        <v/>
      </c>
      <c r="H278" s="7">
        <f>E278*F278</f>
        <v/>
      </c>
      <c r="I278" s="6">
        <f>MONTH(A278)</f>
        <v/>
      </c>
      <c r="J278" s="7">
        <f>INDEX('מוצרים'!$D:$D,MATCH(D278,'מוצרים'!$A:$A,0))</f>
        <v/>
      </c>
      <c r="K278" s="7">
        <f>(F278-J278)*E278</f>
        <v/>
      </c>
      <c r="L278" s="6">
        <f>IF(COUNTIF($B:$B,B278)&gt;1,"כפולה","")</f>
        <v/>
      </c>
    </row>
    <row r="279">
      <c r="A279" s="5" t="n">
        <v>46154</v>
      </c>
      <c r="B279" s="6" t="n">
        <v>50276</v>
      </c>
      <c r="C279" s="6" t="inlineStr">
        <is>
          <t>C108</t>
        </is>
      </c>
      <c r="D279" s="6" t="inlineStr">
        <is>
          <t>P02</t>
        </is>
      </c>
      <c r="E279" s="6" t="n">
        <v>21</v>
      </c>
      <c r="F279" s="7" t="n">
        <v>110</v>
      </c>
      <c r="G279" s="6">
        <f>IFERROR(INDEX('לקוחות'!$B:$B,MATCH(C279,'לקוחות'!$A:$A,0)),"לא נמצא")</f>
        <v/>
      </c>
      <c r="H279" s="7">
        <f>E279*F279</f>
        <v/>
      </c>
      <c r="I279" s="6">
        <f>MONTH(A279)</f>
        <v/>
      </c>
      <c r="J279" s="7">
        <f>INDEX('מוצרים'!$D:$D,MATCH(D279,'מוצרים'!$A:$A,0))</f>
        <v/>
      </c>
      <c r="K279" s="7">
        <f>(F279-J279)*E279</f>
        <v/>
      </c>
      <c r="L279" s="6">
        <f>IF(COUNTIF($B:$B,B279)&gt;1,"כפולה","")</f>
        <v/>
      </c>
    </row>
    <row r="280">
      <c r="A280" s="5" t="n">
        <v>46155</v>
      </c>
      <c r="B280" s="6" t="n">
        <v>50277</v>
      </c>
      <c r="C280" s="6" t="inlineStr">
        <is>
          <t>C105</t>
        </is>
      </c>
      <c r="D280" s="6" t="inlineStr">
        <is>
          <t>P08</t>
        </is>
      </c>
      <c r="E280" s="6" t="n">
        <v>29</v>
      </c>
      <c r="F280" s="7" t="n">
        <v>199</v>
      </c>
      <c r="G280" s="6">
        <f>IFERROR(INDEX('לקוחות'!$B:$B,MATCH(C280,'לקוחות'!$A:$A,0)),"לא נמצא")</f>
        <v/>
      </c>
      <c r="H280" s="7">
        <f>E280*F280</f>
        <v/>
      </c>
      <c r="I280" s="6">
        <f>MONTH(A280)</f>
        <v/>
      </c>
      <c r="J280" s="7">
        <f>INDEX('מוצרים'!$D:$D,MATCH(D280,'מוצרים'!$A:$A,0))</f>
        <v/>
      </c>
      <c r="K280" s="7">
        <f>(F280-J280)*E280</f>
        <v/>
      </c>
      <c r="L280" s="6">
        <f>IF(COUNTIF($B:$B,B280)&gt;1,"כפולה","")</f>
        <v/>
      </c>
    </row>
    <row r="281">
      <c r="A281" s="5" t="n">
        <v>46156</v>
      </c>
      <c r="B281" s="6" t="n">
        <v>50278</v>
      </c>
      <c r="C281" s="6" t="inlineStr">
        <is>
          <t>C104</t>
        </is>
      </c>
      <c r="D281" s="6" t="inlineStr">
        <is>
          <t>P08</t>
        </is>
      </c>
      <c r="E281" s="6" t="n">
        <v>30</v>
      </c>
      <c r="F281" s="7" t="n">
        <v>199</v>
      </c>
      <c r="G281" s="6">
        <f>IFERROR(INDEX('לקוחות'!$B:$B,MATCH(C281,'לקוחות'!$A:$A,0)),"לא נמצא")</f>
        <v/>
      </c>
      <c r="H281" s="7">
        <f>E281*F281</f>
        <v/>
      </c>
      <c r="I281" s="6">
        <f>MONTH(A281)</f>
        <v/>
      </c>
      <c r="J281" s="7">
        <f>INDEX('מוצרים'!$D:$D,MATCH(D281,'מוצרים'!$A:$A,0))</f>
        <v/>
      </c>
      <c r="K281" s="7">
        <f>(F281-J281)*E281</f>
        <v/>
      </c>
      <c r="L281" s="6">
        <f>IF(COUNTIF($B:$B,B281)&gt;1,"כפולה","")</f>
        <v/>
      </c>
    </row>
    <row r="282">
      <c r="A282" s="5" t="n">
        <v>46158</v>
      </c>
      <c r="B282" s="6" t="n">
        <v>50279</v>
      </c>
      <c r="C282" s="6" t="inlineStr">
        <is>
          <t>C100</t>
        </is>
      </c>
      <c r="D282" s="6" t="inlineStr">
        <is>
          <t>P06</t>
        </is>
      </c>
      <c r="E282" s="6" t="n">
        <v>32</v>
      </c>
      <c r="F282" s="7" t="n">
        <v>63</v>
      </c>
      <c r="G282" s="6">
        <f>IFERROR(INDEX('לקוחות'!$B:$B,MATCH(C282,'לקוחות'!$A:$A,0)),"לא נמצא")</f>
        <v/>
      </c>
      <c r="H282" s="7">
        <f>E282*F282</f>
        <v/>
      </c>
      <c r="I282" s="6">
        <f>MONTH(A282)</f>
        <v/>
      </c>
      <c r="J282" s="7">
        <f>INDEX('מוצרים'!$D:$D,MATCH(D282,'מוצרים'!$A:$A,0))</f>
        <v/>
      </c>
      <c r="K282" s="7">
        <f>(F282-J282)*E282</f>
        <v/>
      </c>
      <c r="L282" s="6">
        <f>IF(COUNTIF($B:$B,B282)&gt;1,"כפולה","")</f>
        <v/>
      </c>
    </row>
    <row r="283">
      <c r="A283" s="5" t="n">
        <v>46158</v>
      </c>
      <c r="B283" s="6" t="n">
        <v>50280</v>
      </c>
      <c r="C283" s="6" t="inlineStr">
        <is>
          <t>C104</t>
        </is>
      </c>
      <c r="D283" s="6" t="inlineStr">
        <is>
          <t>P08</t>
        </is>
      </c>
      <c r="E283" s="6" t="n">
        <v>33</v>
      </c>
      <c r="F283" s="7" t="n">
        <v>199</v>
      </c>
      <c r="G283" s="6">
        <f>IFERROR(INDEX('לקוחות'!$B:$B,MATCH(C283,'לקוחות'!$A:$A,0)),"לא נמצא")</f>
        <v/>
      </c>
      <c r="H283" s="7">
        <f>E283*F283</f>
        <v/>
      </c>
      <c r="I283" s="6">
        <f>MONTH(A283)</f>
        <v/>
      </c>
      <c r="J283" s="7">
        <f>INDEX('מוצרים'!$D:$D,MATCH(D283,'מוצרים'!$A:$A,0))</f>
        <v/>
      </c>
      <c r="K283" s="7">
        <f>(F283-J283)*E283</f>
        <v/>
      </c>
      <c r="L283" s="6">
        <f>IF(COUNTIF($B:$B,B283)&gt;1,"כפולה","")</f>
        <v/>
      </c>
    </row>
    <row r="284">
      <c r="A284" s="5" t="n">
        <v>46159</v>
      </c>
      <c r="B284" s="6" t="n">
        <v>50281</v>
      </c>
      <c r="C284" s="6" t="inlineStr">
        <is>
          <t>C102</t>
        </is>
      </c>
      <c r="D284" s="6" t="inlineStr">
        <is>
          <t>P03</t>
        </is>
      </c>
      <c r="E284" s="6" t="n">
        <v>31</v>
      </c>
      <c r="F284" s="7" t="n">
        <v>13</v>
      </c>
      <c r="G284" s="6">
        <f>IFERROR(INDEX('לקוחות'!$B:$B,MATCH(C284,'לקוחות'!$A:$A,0)),"לא נמצא")</f>
        <v/>
      </c>
      <c r="H284" s="7">
        <f>E284*F284</f>
        <v/>
      </c>
      <c r="I284" s="6">
        <f>MONTH(A284)</f>
        <v/>
      </c>
      <c r="J284" s="7">
        <f>INDEX('מוצרים'!$D:$D,MATCH(D284,'מוצרים'!$A:$A,0))</f>
        <v/>
      </c>
      <c r="K284" s="7">
        <f>(F284-J284)*E284</f>
        <v/>
      </c>
      <c r="L284" s="6">
        <f>IF(COUNTIF($B:$B,B284)&gt;1,"כפולה","")</f>
        <v/>
      </c>
    </row>
    <row r="285">
      <c r="A285" s="5" t="n">
        <v>46159</v>
      </c>
      <c r="B285" s="6" t="n">
        <v>50282</v>
      </c>
      <c r="C285" s="6" t="inlineStr">
        <is>
          <t>C102</t>
        </is>
      </c>
      <c r="D285" s="6" t="inlineStr">
        <is>
          <t>P05</t>
        </is>
      </c>
      <c r="E285" s="6" t="n">
        <v>3</v>
      </c>
      <c r="F285" s="7" t="n">
        <v>150</v>
      </c>
      <c r="G285" s="6">
        <f>IFERROR(INDEX('לקוחות'!$B:$B,MATCH(C285,'לקוחות'!$A:$A,0)),"לא נמצא")</f>
        <v/>
      </c>
      <c r="H285" s="7">
        <f>E285*F285</f>
        <v/>
      </c>
      <c r="I285" s="6">
        <f>MONTH(A285)</f>
        <v/>
      </c>
      <c r="J285" s="7">
        <f>INDEX('מוצרים'!$D:$D,MATCH(D285,'מוצרים'!$A:$A,0))</f>
        <v/>
      </c>
      <c r="K285" s="7">
        <f>(F285-J285)*E285</f>
        <v/>
      </c>
      <c r="L285" s="6">
        <f>IF(COUNTIF($B:$B,B285)&gt;1,"כפולה","")</f>
        <v/>
      </c>
    </row>
    <row r="286">
      <c r="A286" s="5" t="n">
        <v>46160</v>
      </c>
      <c r="B286" s="6" t="n">
        <v>50283</v>
      </c>
      <c r="C286" s="6" t="inlineStr">
        <is>
          <t>C101</t>
        </is>
      </c>
      <c r="D286" s="6" t="inlineStr">
        <is>
          <t>P07</t>
        </is>
      </c>
      <c r="E286" s="6" t="n">
        <v>6</v>
      </c>
      <c r="F286" s="7" t="n">
        <v>95</v>
      </c>
      <c r="G286" s="6">
        <f>IFERROR(INDEX('לקוחות'!$B:$B,MATCH(C286,'לקוחות'!$A:$A,0)),"לא נמצא")</f>
        <v/>
      </c>
      <c r="H286" s="7">
        <f>E286*F286</f>
        <v/>
      </c>
      <c r="I286" s="6">
        <f>MONTH(A286)</f>
        <v/>
      </c>
      <c r="J286" s="7">
        <f>INDEX('מוצרים'!$D:$D,MATCH(D286,'מוצרים'!$A:$A,0))</f>
        <v/>
      </c>
      <c r="K286" s="7">
        <f>(F286-J286)*E286</f>
        <v/>
      </c>
      <c r="L286" s="6">
        <f>IF(COUNTIF($B:$B,B286)&gt;1,"כפולה","")</f>
        <v/>
      </c>
    </row>
    <row r="287">
      <c r="A287" s="5" t="n">
        <v>46160</v>
      </c>
      <c r="B287" s="6" t="n">
        <v>50284</v>
      </c>
      <c r="C287" s="6" t="inlineStr">
        <is>
          <t>C103</t>
        </is>
      </c>
      <c r="D287" s="6" t="inlineStr">
        <is>
          <t>P06</t>
        </is>
      </c>
      <c r="E287" s="6" t="n">
        <v>28</v>
      </c>
      <c r="F287" s="7" t="n">
        <v>63</v>
      </c>
      <c r="G287" s="6">
        <f>IFERROR(INDEX('לקוחות'!$B:$B,MATCH(C287,'לקוחות'!$A:$A,0)),"לא נמצא")</f>
        <v/>
      </c>
      <c r="H287" s="7">
        <f>E287*F287</f>
        <v/>
      </c>
      <c r="I287" s="6">
        <f>MONTH(A287)</f>
        <v/>
      </c>
      <c r="J287" s="7">
        <f>INDEX('מוצרים'!$D:$D,MATCH(D287,'מוצרים'!$A:$A,0))</f>
        <v/>
      </c>
      <c r="K287" s="7">
        <f>(F287-J287)*E287</f>
        <v/>
      </c>
      <c r="L287" s="6">
        <f>IF(COUNTIF($B:$B,B287)&gt;1,"כפולה","")</f>
        <v/>
      </c>
    </row>
    <row r="288">
      <c r="A288" s="5" t="n">
        <v>46160</v>
      </c>
      <c r="B288" s="6" t="n">
        <v>50285</v>
      </c>
      <c r="C288" s="6" t="inlineStr">
        <is>
          <t>C101</t>
        </is>
      </c>
      <c r="D288" s="6" t="inlineStr">
        <is>
          <t>P08</t>
        </is>
      </c>
      <c r="E288" s="6" t="n">
        <v>24</v>
      </c>
      <c r="F288" s="7" t="n">
        <v>199</v>
      </c>
      <c r="G288" s="6">
        <f>IFERROR(INDEX('לקוחות'!$B:$B,MATCH(C288,'לקוחות'!$A:$A,0)),"לא נמצא")</f>
        <v/>
      </c>
      <c r="H288" s="7">
        <f>E288*F288</f>
        <v/>
      </c>
      <c r="I288" s="6">
        <f>MONTH(A288)</f>
        <v/>
      </c>
      <c r="J288" s="7">
        <f>INDEX('מוצרים'!$D:$D,MATCH(D288,'מוצרים'!$A:$A,0))</f>
        <v/>
      </c>
      <c r="K288" s="7">
        <f>(F288-J288)*E288</f>
        <v/>
      </c>
      <c r="L288" s="6">
        <f>IF(COUNTIF($B:$B,B288)&gt;1,"כפולה","")</f>
        <v/>
      </c>
    </row>
    <row r="289">
      <c r="A289" s="5" t="n">
        <v>46160</v>
      </c>
      <c r="B289" s="6" t="n">
        <v>50286</v>
      </c>
      <c r="C289" s="6" t="inlineStr">
        <is>
          <t>C102</t>
        </is>
      </c>
      <c r="D289" s="6" t="inlineStr">
        <is>
          <t>P07</t>
        </is>
      </c>
      <c r="E289" s="6" t="n">
        <v>30</v>
      </c>
      <c r="F289" s="7" t="n">
        <v>95</v>
      </c>
      <c r="G289" s="6">
        <f>IFERROR(INDEX('לקוחות'!$B:$B,MATCH(C289,'לקוחות'!$A:$A,0)),"לא נמצא")</f>
        <v/>
      </c>
      <c r="H289" s="7">
        <f>E289*F289</f>
        <v/>
      </c>
      <c r="I289" s="6">
        <f>MONTH(A289)</f>
        <v/>
      </c>
      <c r="J289" s="7">
        <f>INDEX('מוצרים'!$D:$D,MATCH(D289,'מוצרים'!$A:$A,0))</f>
        <v/>
      </c>
      <c r="K289" s="7">
        <f>(F289-J289)*E289</f>
        <v/>
      </c>
      <c r="L289" s="6">
        <f>IF(COUNTIF($B:$B,B289)&gt;1,"כפולה","")</f>
        <v/>
      </c>
    </row>
    <row r="290">
      <c r="A290" s="5" t="n">
        <v>46161</v>
      </c>
      <c r="B290" s="6" t="n">
        <v>50287</v>
      </c>
      <c r="C290" s="6" t="inlineStr">
        <is>
          <t>C100</t>
        </is>
      </c>
      <c r="D290" s="6" t="inlineStr">
        <is>
          <t>P02</t>
        </is>
      </c>
      <c r="E290" s="6" t="n">
        <v>16</v>
      </c>
      <c r="F290" s="7" t="n">
        <v>110</v>
      </c>
      <c r="G290" s="6">
        <f>IFERROR(INDEX('לקוחות'!$B:$B,MATCH(C290,'לקוחות'!$A:$A,0)),"לא נמצא")</f>
        <v/>
      </c>
      <c r="H290" s="7">
        <f>E290*F290</f>
        <v/>
      </c>
      <c r="I290" s="6">
        <f>MONTH(A290)</f>
        <v/>
      </c>
      <c r="J290" s="7">
        <f>INDEX('מוצרים'!$D:$D,MATCH(D290,'מוצרים'!$A:$A,0))</f>
        <v/>
      </c>
      <c r="K290" s="7">
        <f>(F290-J290)*E290</f>
        <v/>
      </c>
      <c r="L290" s="6">
        <f>IF(COUNTIF($B:$B,B290)&gt;1,"כפולה","")</f>
        <v/>
      </c>
    </row>
    <row r="291">
      <c r="A291" s="5" t="n">
        <v>46161</v>
      </c>
      <c r="B291" s="6" t="n">
        <v>50288</v>
      </c>
      <c r="C291" s="6" t="inlineStr">
        <is>
          <t>C101</t>
        </is>
      </c>
      <c r="D291" s="6" t="inlineStr">
        <is>
          <t>P03</t>
        </is>
      </c>
      <c r="E291" s="6" t="n">
        <v>10</v>
      </c>
      <c r="F291" s="7" t="n">
        <v>13</v>
      </c>
      <c r="G291" s="6">
        <f>IFERROR(INDEX('לקוחות'!$B:$B,MATCH(C291,'לקוחות'!$A:$A,0)),"לא נמצא")</f>
        <v/>
      </c>
      <c r="H291" s="7">
        <f>E291*F291</f>
        <v/>
      </c>
      <c r="I291" s="6">
        <f>MONTH(A291)</f>
        <v/>
      </c>
      <c r="J291" s="7">
        <f>INDEX('מוצרים'!$D:$D,MATCH(D291,'מוצרים'!$A:$A,0))</f>
        <v/>
      </c>
      <c r="K291" s="7">
        <f>(F291-J291)*E291</f>
        <v/>
      </c>
      <c r="L291" s="6">
        <f>IF(COUNTIF($B:$B,B291)&gt;1,"כפולה","")</f>
        <v/>
      </c>
    </row>
    <row r="292">
      <c r="A292" s="5" t="n">
        <v>46161</v>
      </c>
      <c r="B292" s="6" t="n">
        <v>50289</v>
      </c>
      <c r="C292" s="6" t="inlineStr">
        <is>
          <t>C108</t>
        </is>
      </c>
      <c r="D292" s="6" t="inlineStr">
        <is>
          <t>P01</t>
        </is>
      </c>
      <c r="E292" s="6" t="n">
        <v>22</v>
      </c>
      <c r="F292" s="7" t="n">
        <v>85</v>
      </c>
      <c r="G292" s="6">
        <f>IFERROR(INDEX('לקוחות'!$B:$B,MATCH(C292,'לקוחות'!$A:$A,0)),"לא נמצא")</f>
        <v/>
      </c>
      <c r="H292" s="7">
        <f>E292*F292</f>
        <v/>
      </c>
      <c r="I292" s="6">
        <f>MONTH(A292)</f>
        <v/>
      </c>
      <c r="J292" s="7">
        <f>INDEX('מוצרים'!$D:$D,MATCH(D292,'מוצרים'!$A:$A,0))</f>
        <v/>
      </c>
      <c r="K292" s="7">
        <f>(F292-J292)*E292</f>
        <v/>
      </c>
      <c r="L292" s="6">
        <f>IF(COUNTIF($B:$B,B292)&gt;1,"כפולה","")</f>
        <v/>
      </c>
    </row>
    <row r="293">
      <c r="A293" s="5" t="n">
        <v>46162</v>
      </c>
      <c r="B293" s="6" t="n">
        <v>50290</v>
      </c>
      <c r="C293" s="6" t="inlineStr">
        <is>
          <t>C108</t>
        </is>
      </c>
      <c r="D293" s="6" t="inlineStr">
        <is>
          <t>P01</t>
        </is>
      </c>
      <c r="E293" s="6" t="n">
        <v>25</v>
      </c>
      <c r="F293" s="7" t="n">
        <v>85</v>
      </c>
      <c r="G293" s="6">
        <f>IFERROR(INDEX('לקוחות'!$B:$B,MATCH(C293,'לקוחות'!$A:$A,0)),"לא נמצא")</f>
        <v/>
      </c>
      <c r="H293" s="7">
        <f>E293*F293</f>
        <v/>
      </c>
      <c r="I293" s="6">
        <f>MONTH(A293)</f>
        <v/>
      </c>
      <c r="J293" s="7">
        <f>INDEX('מוצרים'!$D:$D,MATCH(D293,'מוצרים'!$A:$A,0))</f>
        <v/>
      </c>
      <c r="K293" s="7">
        <f>(F293-J293)*E293</f>
        <v/>
      </c>
      <c r="L293" s="6">
        <f>IF(COUNTIF($B:$B,B293)&gt;1,"כפולה","")</f>
        <v/>
      </c>
    </row>
    <row r="294">
      <c r="A294" s="5" t="n">
        <v>46162</v>
      </c>
      <c r="B294" s="6" t="n">
        <v>50291</v>
      </c>
      <c r="C294" s="6" t="inlineStr">
        <is>
          <t>C105</t>
        </is>
      </c>
      <c r="D294" s="6" t="inlineStr">
        <is>
          <t>P03</t>
        </is>
      </c>
      <c r="E294" s="6" t="n">
        <v>30</v>
      </c>
      <c r="F294" s="7" t="n">
        <v>13</v>
      </c>
      <c r="G294" s="6">
        <f>IFERROR(INDEX('לקוחות'!$B:$B,MATCH(C294,'לקוחות'!$A:$A,0)),"לא נמצא")</f>
        <v/>
      </c>
      <c r="H294" s="7">
        <f>E294*F294</f>
        <v/>
      </c>
      <c r="I294" s="6">
        <f>MONTH(A294)</f>
        <v/>
      </c>
      <c r="J294" s="7">
        <f>INDEX('מוצרים'!$D:$D,MATCH(D294,'מוצרים'!$A:$A,0))</f>
        <v/>
      </c>
      <c r="K294" s="7">
        <f>(F294-J294)*E294</f>
        <v/>
      </c>
      <c r="L294" s="6">
        <f>IF(COUNTIF($B:$B,B294)&gt;1,"כפולה","")</f>
        <v/>
      </c>
    </row>
    <row r="295">
      <c r="A295" s="5" t="n">
        <v>46162</v>
      </c>
      <c r="B295" s="6" t="n">
        <v>50292</v>
      </c>
      <c r="C295" s="6" t="inlineStr">
        <is>
          <t>C107</t>
        </is>
      </c>
      <c r="D295" s="6" t="inlineStr">
        <is>
          <t>P05</t>
        </is>
      </c>
      <c r="E295" s="6" t="n">
        <v>3</v>
      </c>
      <c r="F295" s="7" t="n">
        <v>150</v>
      </c>
      <c r="G295" s="6">
        <f>IFERROR(INDEX('לקוחות'!$B:$B,MATCH(C295,'לקוחות'!$A:$A,0)),"לא נמצא")</f>
        <v/>
      </c>
      <c r="H295" s="7">
        <f>E295*F295</f>
        <v/>
      </c>
      <c r="I295" s="6">
        <f>MONTH(A295)</f>
        <v/>
      </c>
      <c r="J295" s="7">
        <f>INDEX('מוצרים'!$D:$D,MATCH(D295,'מוצרים'!$A:$A,0))</f>
        <v/>
      </c>
      <c r="K295" s="7">
        <f>(F295-J295)*E295</f>
        <v/>
      </c>
      <c r="L295" s="6">
        <f>IF(COUNTIF($B:$B,B295)&gt;1,"כפולה","")</f>
        <v/>
      </c>
    </row>
    <row r="296">
      <c r="A296" s="5" t="n">
        <v>46162</v>
      </c>
      <c r="B296" s="6" t="n">
        <v>50293</v>
      </c>
      <c r="C296" s="6" t="inlineStr">
        <is>
          <t>C104</t>
        </is>
      </c>
      <c r="D296" s="6" t="inlineStr">
        <is>
          <t>P05</t>
        </is>
      </c>
      <c r="E296" s="6" t="n">
        <v>31</v>
      </c>
      <c r="F296" s="7" t="n">
        <v>150</v>
      </c>
      <c r="G296" s="6">
        <f>IFERROR(INDEX('לקוחות'!$B:$B,MATCH(C296,'לקוחות'!$A:$A,0)),"לא נמצא")</f>
        <v/>
      </c>
      <c r="H296" s="7">
        <f>E296*F296</f>
        <v/>
      </c>
      <c r="I296" s="6">
        <f>MONTH(A296)</f>
        <v/>
      </c>
      <c r="J296" s="7">
        <f>INDEX('מוצרים'!$D:$D,MATCH(D296,'מוצרים'!$A:$A,0))</f>
        <v/>
      </c>
      <c r="K296" s="7">
        <f>(F296-J296)*E296</f>
        <v/>
      </c>
      <c r="L296" s="6">
        <f>IF(COUNTIF($B:$B,B296)&gt;1,"כפולה","")</f>
        <v/>
      </c>
    </row>
    <row r="297">
      <c r="A297" s="5" t="n">
        <v>46163</v>
      </c>
      <c r="B297" s="6" t="n">
        <v>50294</v>
      </c>
      <c r="C297" s="6" t="inlineStr">
        <is>
          <t>C109</t>
        </is>
      </c>
      <c r="D297" s="6" t="inlineStr">
        <is>
          <t>P07</t>
        </is>
      </c>
      <c r="E297" s="6" t="n">
        <v>8</v>
      </c>
      <c r="F297" s="7" t="n">
        <v>95</v>
      </c>
      <c r="G297" s="6">
        <f>IFERROR(INDEX('לקוחות'!$B:$B,MATCH(C297,'לקוחות'!$A:$A,0)),"לא נמצא")</f>
        <v/>
      </c>
      <c r="H297" s="7">
        <f>E297*F297</f>
        <v/>
      </c>
      <c r="I297" s="6">
        <f>MONTH(A297)</f>
        <v/>
      </c>
      <c r="J297" s="7">
        <f>INDEX('מוצרים'!$D:$D,MATCH(D297,'מוצרים'!$A:$A,0))</f>
        <v/>
      </c>
      <c r="K297" s="7">
        <f>(F297-J297)*E297</f>
        <v/>
      </c>
      <c r="L297" s="6">
        <f>IF(COUNTIF($B:$B,B297)&gt;1,"כפולה","")</f>
        <v/>
      </c>
    </row>
    <row r="298">
      <c r="A298" s="5" t="n">
        <v>46163</v>
      </c>
      <c r="B298" s="6" t="n">
        <v>50295</v>
      </c>
      <c r="C298" s="6" t="inlineStr">
        <is>
          <t>C108</t>
        </is>
      </c>
      <c r="D298" s="6" t="inlineStr">
        <is>
          <t>P05</t>
        </is>
      </c>
      <c r="E298" s="6" t="n">
        <v>20</v>
      </c>
      <c r="F298" s="7" t="n">
        <v>150</v>
      </c>
      <c r="G298" s="6">
        <f>IFERROR(INDEX('לקוחות'!$B:$B,MATCH(C298,'לקוחות'!$A:$A,0)),"לא נמצא")</f>
        <v/>
      </c>
      <c r="H298" s="7">
        <f>E298*F298</f>
        <v/>
      </c>
      <c r="I298" s="6">
        <f>MONTH(A298)</f>
        <v/>
      </c>
      <c r="J298" s="7">
        <f>INDEX('מוצרים'!$D:$D,MATCH(D298,'מוצרים'!$A:$A,0))</f>
        <v/>
      </c>
      <c r="K298" s="7">
        <f>(F298-J298)*E298</f>
        <v/>
      </c>
      <c r="L298" s="6">
        <f>IF(COUNTIF($B:$B,B298)&gt;1,"כפולה","")</f>
        <v/>
      </c>
    </row>
    <row r="299">
      <c r="A299" s="5" t="n">
        <v>46164</v>
      </c>
      <c r="B299" s="6" t="n">
        <v>50296</v>
      </c>
      <c r="C299" s="6" t="inlineStr">
        <is>
          <t>C100</t>
        </is>
      </c>
      <c r="D299" s="6" t="inlineStr">
        <is>
          <t>P02</t>
        </is>
      </c>
      <c r="E299" s="6" t="n">
        <v>35</v>
      </c>
      <c r="F299" s="7" t="n">
        <v>110</v>
      </c>
      <c r="G299" s="6">
        <f>IFERROR(INDEX('לקוחות'!$B:$B,MATCH(C299,'לקוחות'!$A:$A,0)),"לא נמצא")</f>
        <v/>
      </c>
      <c r="H299" s="7">
        <f>E299*F299</f>
        <v/>
      </c>
      <c r="I299" s="6">
        <f>MONTH(A299)</f>
        <v/>
      </c>
      <c r="J299" s="7">
        <f>INDEX('מוצרים'!$D:$D,MATCH(D299,'מוצרים'!$A:$A,0))</f>
        <v/>
      </c>
      <c r="K299" s="7">
        <f>(F299-J299)*E299</f>
        <v/>
      </c>
      <c r="L299" s="6">
        <f>IF(COUNTIF($B:$B,B299)&gt;1,"כפולה","")</f>
        <v/>
      </c>
    </row>
    <row r="300">
      <c r="A300" s="5" t="n">
        <v>46164</v>
      </c>
      <c r="B300" s="6" t="n">
        <v>50297</v>
      </c>
      <c r="C300" s="6" t="inlineStr">
        <is>
          <t>C103</t>
        </is>
      </c>
      <c r="D300" s="6" t="inlineStr">
        <is>
          <t>P04</t>
        </is>
      </c>
      <c r="E300" s="6" t="n">
        <v>1</v>
      </c>
      <c r="F300" s="7" t="n">
        <v>29</v>
      </c>
      <c r="G300" s="6">
        <f>IFERROR(INDEX('לקוחות'!$B:$B,MATCH(C300,'לקוחות'!$A:$A,0)),"לא נמצא")</f>
        <v/>
      </c>
      <c r="H300" s="7">
        <f>E300*F300</f>
        <v/>
      </c>
      <c r="I300" s="6">
        <f>MONTH(A300)</f>
        <v/>
      </c>
      <c r="J300" s="7">
        <f>INDEX('מוצרים'!$D:$D,MATCH(D300,'מוצרים'!$A:$A,0))</f>
        <v/>
      </c>
      <c r="K300" s="7">
        <f>(F300-J300)*E300</f>
        <v/>
      </c>
      <c r="L300" s="6">
        <f>IF(COUNTIF($B:$B,B300)&gt;1,"כפולה","")</f>
        <v/>
      </c>
    </row>
    <row r="301">
      <c r="A301" s="5" t="n">
        <v>46164</v>
      </c>
      <c r="B301" s="6" t="n">
        <v>50298</v>
      </c>
      <c r="C301" s="6" t="inlineStr">
        <is>
          <t>C104</t>
        </is>
      </c>
      <c r="D301" s="6" t="inlineStr">
        <is>
          <t>P03</t>
        </is>
      </c>
      <c r="E301" s="6" t="n">
        <v>32</v>
      </c>
      <c r="F301" s="7" t="n">
        <v>13</v>
      </c>
      <c r="G301" s="6">
        <f>IFERROR(INDEX('לקוחות'!$B:$B,MATCH(C301,'לקוחות'!$A:$A,0)),"לא נמצא")</f>
        <v/>
      </c>
      <c r="H301" s="7">
        <f>E301*F301</f>
        <v/>
      </c>
      <c r="I301" s="6">
        <f>MONTH(A301)</f>
        <v/>
      </c>
      <c r="J301" s="7">
        <f>INDEX('מוצרים'!$D:$D,MATCH(D301,'מוצרים'!$A:$A,0))</f>
        <v/>
      </c>
      <c r="K301" s="7">
        <f>(F301-J301)*E301</f>
        <v/>
      </c>
      <c r="L301" s="6">
        <f>IF(COUNTIF($B:$B,B301)&gt;1,"כפולה","")</f>
        <v/>
      </c>
    </row>
    <row r="302">
      <c r="A302" s="5" t="n">
        <v>46164</v>
      </c>
      <c r="B302" s="6" t="n">
        <v>50299</v>
      </c>
      <c r="C302" s="6" t="inlineStr">
        <is>
          <t>C106</t>
        </is>
      </c>
      <c r="D302" s="6" t="inlineStr">
        <is>
          <t>P02</t>
        </is>
      </c>
      <c r="E302" s="6" t="n">
        <v>15</v>
      </c>
      <c r="F302" s="7" t="n">
        <v>110</v>
      </c>
      <c r="G302" s="6">
        <f>IFERROR(INDEX('לקוחות'!$B:$B,MATCH(C302,'לקוחות'!$A:$A,0)),"לא נמצא")</f>
        <v/>
      </c>
      <c r="H302" s="7">
        <f>E302*F302</f>
        <v/>
      </c>
      <c r="I302" s="6">
        <f>MONTH(A302)</f>
        <v/>
      </c>
      <c r="J302" s="7">
        <f>INDEX('מוצרים'!$D:$D,MATCH(D302,'מוצרים'!$A:$A,0))</f>
        <v/>
      </c>
      <c r="K302" s="7">
        <f>(F302-J302)*E302</f>
        <v/>
      </c>
      <c r="L302" s="6">
        <f>IF(COUNTIF($B:$B,B302)&gt;1,"כפולה","")</f>
        <v/>
      </c>
    </row>
    <row r="303">
      <c r="A303" s="5" t="n">
        <v>46164</v>
      </c>
      <c r="B303" s="6" t="n">
        <v>50300</v>
      </c>
      <c r="C303" s="6" t="inlineStr">
        <is>
          <t>C103</t>
        </is>
      </c>
      <c r="D303" s="6" t="inlineStr">
        <is>
          <t>P04</t>
        </is>
      </c>
      <c r="E303" s="6" t="n">
        <v>15</v>
      </c>
      <c r="F303" s="7" t="n">
        <v>32</v>
      </c>
      <c r="G303" s="6">
        <f>IFERROR(INDEX('לקוחות'!$B:$B,MATCH(C303,'לקוחות'!$A:$A,0)),"לא נמצא")</f>
        <v/>
      </c>
      <c r="H303" s="7">
        <f>E303*F303</f>
        <v/>
      </c>
      <c r="I303" s="6">
        <f>MONTH(A303)</f>
        <v/>
      </c>
      <c r="J303" s="7">
        <f>INDEX('מוצרים'!$D:$D,MATCH(D303,'מוצרים'!$A:$A,0))</f>
        <v/>
      </c>
      <c r="K303" s="7">
        <f>(F303-J303)*E303</f>
        <v/>
      </c>
      <c r="L303" s="6">
        <f>IF(COUNTIF($B:$B,B303)&gt;1,"כפולה","")</f>
        <v/>
      </c>
    </row>
    <row r="304">
      <c r="A304" s="5" t="n">
        <v>46164</v>
      </c>
      <c r="B304" s="6" t="n">
        <v>50301</v>
      </c>
      <c r="C304" s="6" t="inlineStr">
        <is>
          <t>C109</t>
        </is>
      </c>
      <c r="D304" s="6" t="inlineStr">
        <is>
          <t>P06</t>
        </is>
      </c>
      <c r="E304" s="6" t="n">
        <v>30</v>
      </c>
      <c r="F304" s="7" t="n">
        <v>70</v>
      </c>
      <c r="G304" s="6">
        <f>IFERROR(INDEX('לקוחות'!$B:$B,MATCH(C304,'לקוחות'!$A:$A,0)),"לא נמצא")</f>
        <v/>
      </c>
      <c r="H304" s="7">
        <f>E304*F304</f>
        <v/>
      </c>
      <c r="I304" s="6">
        <f>MONTH(A304)</f>
        <v/>
      </c>
      <c r="J304" s="7">
        <f>INDEX('מוצרים'!$D:$D,MATCH(D304,'מוצרים'!$A:$A,0))</f>
        <v/>
      </c>
      <c r="K304" s="7">
        <f>(F304-J304)*E304</f>
        <v/>
      </c>
      <c r="L304" s="6">
        <f>IF(COUNTIF($B:$B,B304)&gt;1,"כפולה","")</f>
        <v/>
      </c>
    </row>
    <row r="305">
      <c r="A305" s="5" t="n">
        <v>46164</v>
      </c>
      <c r="B305" s="6" t="n">
        <v>50302</v>
      </c>
      <c r="C305" s="6" t="inlineStr">
        <is>
          <t>C102</t>
        </is>
      </c>
      <c r="D305" s="6" t="inlineStr">
        <is>
          <t>P02</t>
        </is>
      </c>
      <c r="E305" s="6" t="n">
        <v>5</v>
      </c>
      <c r="F305" s="7" t="n">
        <v>110</v>
      </c>
      <c r="G305" s="6">
        <f>IFERROR(INDEX('לקוחות'!$B:$B,MATCH(C305,'לקוחות'!$A:$A,0)),"לא נמצא")</f>
        <v/>
      </c>
      <c r="H305" s="7">
        <f>E305*F305</f>
        <v/>
      </c>
      <c r="I305" s="6">
        <f>MONTH(A305)</f>
        <v/>
      </c>
      <c r="J305" s="7">
        <f>INDEX('מוצרים'!$D:$D,MATCH(D305,'מוצרים'!$A:$A,0))</f>
        <v/>
      </c>
      <c r="K305" s="7">
        <f>(F305-J305)*E305</f>
        <v/>
      </c>
      <c r="L305" s="6">
        <f>IF(COUNTIF($B:$B,B305)&gt;1,"כפולה","")</f>
        <v/>
      </c>
    </row>
    <row r="306">
      <c r="A306" s="5" t="n">
        <v>46164</v>
      </c>
      <c r="B306" s="6" t="n">
        <v>50302</v>
      </c>
      <c r="C306" s="6" t="inlineStr">
        <is>
          <t>C102</t>
        </is>
      </c>
      <c r="D306" s="6" t="inlineStr">
        <is>
          <t>P02</t>
        </is>
      </c>
      <c r="E306" s="6" t="n">
        <v>5</v>
      </c>
      <c r="F306" s="7" t="n">
        <v>110</v>
      </c>
      <c r="G306" s="6">
        <f>IFERROR(INDEX('לקוחות'!$B:$B,MATCH(C306,'לקוחות'!$A:$A,0)),"לא נמצא")</f>
        <v/>
      </c>
      <c r="H306" s="7">
        <f>E306*F306</f>
        <v/>
      </c>
      <c r="I306" s="6">
        <f>MONTH(A306)</f>
        <v/>
      </c>
      <c r="J306" s="7">
        <f>INDEX('מוצרים'!$D:$D,MATCH(D306,'מוצרים'!$A:$A,0))</f>
        <v/>
      </c>
      <c r="K306" s="7">
        <f>(F306-J306)*E306</f>
        <v/>
      </c>
      <c r="L306" s="6">
        <f>IF(COUNTIF($B:$B,B306)&gt;1,"כפולה","")</f>
        <v/>
      </c>
    </row>
    <row r="307">
      <c r="A307" s="5" t="n">
        <v>46164</v>
      </c>
      <c r="B307" s="6" t="n">
        <v>50303</v>
      </c>
      <c r="C307" s="6" t="inlineStr">
        <is>
          <t>C109</t>
        </is>
      </c>
      <c r="D307" s="6" t="inlineStr">
        <is>
          <t>P03</t>
        </is>
      </c>
      <c r="E307" s="6" t="n">
        <v>9</v>
      </c>
      <c r="F307" s="7" t="n">
        <v>13</v>
      </c>
      <c r="G307" s="6">
        <f>IFERROR(INDEX('לקוחות'!$B:$B,MATCH(C307,'לקוחות'!$A:$A,0)),"לא נמצא")</f>
        <v/>
      </c>
      <c r="H307" s="7">
        <f>E307*F307</f>
        <v/>
      </c>
      <c r="I307" s="6">
        <f>MONTH(A307)</f>
        <v/>
      </c>
      <c r="J307" s="7">
        <f>INDEX('מוצרים'!$D:$D,MATCH(D307,'מוצרים'!$A:$A,0))</f>
        <v/>
      </c>
      <c r="K307" s="7">
        <f>(F307-J307)*E307</f>
        <v/>
      </c>
      <c r="L307" s="6">
        <f>IF(COUNTIF($B:$B,B307)&gt;1,"כפולה","")</f>
        <v/>
      </c>
    </row>
    <row r="308">
      <c r="A308" s="5" t="n">
        <v>46165</v>
      </c>
      <c r="B308" s="6" t="n">
        <v>50304</v>
      </c>
      <c r="C308" s="6" t="inlineStr">
        <is>
          <t>C105</t>
        </is>
      </c>
      <c r="D308" s="6" t="inlineStr">
        <is>
          <t>P02</t>
        </is>
      </c>
      <c r="E308" s="6" t="n">
        <v>26</v>
      </c>
      <c r="F308" s="7" t="n">
        <v>99</v>
      </c>
      <c r="G308" s="6">
        <f>IFERROR(INDEX('לקוחות'!$B:$B,MATCH(C308,'לקוחות'!$A:$A,0)),"לא נמצא")</f>
        <v/>
      </c>
      <c r="H308" s="7">
        <f>E308*F308</f>
        <v/>
      </c>
      <c r="I308" s="6">
        <f>MONTH(A308)</f>
        <v/>
      </c>
      <c r="J308" s="7">
        <f>INDEX('מוצרים'!$D:$D,MATCH(D308,'מוצרים'!$A:$A,0))</f>
        <v/>
      </c>
      <c r="K308" s="7">
        <f>(F308-J308)*E308</f>
        <v/>
      </c>
      <c r="L308" s="6">
        <f>IF(COUNTIF($B:$B,B308)&gt;1,"כפולה","")</f>
        <v/>
      </c>
    </row>
    <row r="309">
      <c r="A309" s="5" t="n">
        <v>46166</v>
      </c>
      <c r="B309" s="6" t="n">
        <v>50305</v>
      </c>
      <c r="C309" s="6" t="inlineStr">
        <is>
          <t>C108</t>
        </is>
      </c>
      <c r="D309" s="6" t="inlineStr">
        <is>
          <t>P05</t>
        </is>
      </c>
      <c r="E309" s="6" t="n">
        <v>38</v>
      </c>
      <c r="F309" s="7" t="n">
        <v>150</v>
      </c>
      <c r="G309" s="6">
        <f>IFERROR(INDEX('לקוחות'!$B:$B,MATCH(C309,'לקוחות'!$A:$A,0)),"לא נמצא")</f>
        <v/>
      </c>
      <c r="H309" s="7">
        <f>E309*F309</f>
        <v/>
      </c>
      <c r="I309" s="6">
        <f>MONTH(A309)</f>
        <v/>
      </c>
      <c r="J309" s="7">
        <f>INDEX('מוצרים'!$D:$D,MATCH(D309,'מוצרים'!$A:$A,0))</f>
        <v/>
      </c>
      <c r="K309" s="7">
        <f>(F309-J309)*E309</f>
        <v/>
      </c>
      <c r="L309" s="6">
        <f>IF(COUNTIF($B:$B,B309)&gt;1,"כפולה","")</f>
        <v/>
      </c>
    </row>
    <row r="310">
      <c r="A310" s="5" t="n">
        <v>46166</v>
      </c>
      <c r="B310" s="6" t="n">
        <v>50306</v>
      </c>
      <c r="C310" s="6" t="inlineStr">
        <is>
          <t>C100</t>
        </is>
      </c>
      <c r="D310" s="6" t="inlineStr">
        <is>
          <t>P02</t>
        </is>
      </c>
      <c r="E310" s="6" t="n">
        <v>5</v>
      </c>
      <c r="F310" s="7" t="n">
        <v>110</v>
      </c>
      <c r="G310" s="6">
        <f>IFERROR(INDEX('לקוחות'!$B:$B,MATCH(C310,'לקוחות'!$A:$A,0)),"לא נמצא")</f>
        <v/>
      </c>
      <c r="H310" s="7">
        <f>E310*F310</f>
        <v/>
      </c>
      <c r="I310" s="6">
        <f>MONTH(A310)</f>
        <v/>
      </c>
      <c r="J310" s="7">
        <f>INDEX('מוצרים'!$D:$D,MATCH(D310,'מוצרים'!$A:$A,0))</f>
        <v/>
      </c>
      <c r="K310" s="7">
        <f>(F310-J310)*E310</f>
        <v/>
      </c>
      <c r="L310" s="6">
        <f>IF(COUNTIF($B:$B,B310)&gt;1,"כפולה","")</f>
        <v/>
      </c>
    </row>
    <row r="311">
      <c r="A311" s="5" t="n">
        <v>46166</v>
      </c>
      <c r="B311" s="6" t="n">
        <v>50307</v>
      </c>
      <c r="C311" s="6" t="inlineStr">
        <is>
          <t>C109</t>
        </is>
      </c>
      <c r="D311" s="6" t="inlineStr">
        <is>
          <t>P06</t>
        </is>
      </c>
      <c r="E311" s="6" t="n">
        <v>29</v>
      </c>
      <c r="F311" s="7" t="n">
        <v>70</v>
      </c>
      <c r="G311" s="6">
        <f>IFERROR(INDEX('לקוחות'!$B:$B,MATCH(C311,'לקוחות'!$A:$A,0)),"לא נמצא")</f>
        <v/>
      </c>
      <c r="H311" s="7">
        <f>E311*F311</f>
        <v/>
      </c>
      <c r="I311" s="6">
        <f>MONTH(A311)</f>
        <v/>
      </c>
      <c r="J311" s="7">
        <f>INDEX('מוצרים'!$D:$D,MATCH(D311,'מוצרים'!$A:$A,0))</f>
        <v/>
      </c>
      <c r="K311" s="7">
        <f>(F311-J311)*E311</f>
        <v/>
      </c>
      <c r="L311" s="6">
        <f>IF(COUNTIF($B:$B,B311)&gt;1,"כפולה","")</f>
        <v/>
      </c>
    </row>
    <row r="312">
      <c r="A312" s="5" t="n">
        <v>46166</v>
      </c>
      <c r="B312" s="6" t="n">
        <v>50308</v>
      </c>
      <c r="C312" s="6" t="inlineStr">
        <is>
          <t>C105</t>
        </is>
      </c>
      <c r="D312" s="6" t="inlineStr">
        <is>
          <t>P04</t>
        </is>
      </c>
      <c r="E312" s="6" t="n">
        <v>5</v>
      </c>
      <c r="F312" s="7" t="n">
        <v>32</v>
      </c>
      <c r="G312" s="6">
        <f>IFERROR(INDEX('לקוחות'!$B:$B,MATCH(C312,'לקוחות'!$A:$A,0)),"לא נמצא")</f>
        <v/>
      </c>
      <c r="H312" s="7">
        <f>E312*F312</f>
        <v/>
      </c>
      <c r="I312" s="6">
        <f>MONTH(A312)</f>
        <v/>
      </c>
      <c r="J312" s="7">
        <f>INDEX('מוצרים'!$D:$D,MATCH(D312,'מוצרים'!$A:$A,0))</f>
        <v/>
      </c>
      <c r="K312" s="7">
        <f>(F312-J312)*E312</f>
        <v/>
      </c>
      <c r="L312" s="6">
        <f>IF(COUNTIF($B:$B,B312)&gt;1,"כפולה","")</f>
        <v/>
      </c>
    </row>
    <row r="313">
      <c r="A313" s="5" t="n">
        <v>46166</v>
      </c>
      <c r="B313" s="6" t="n">
        <v>50309</v>
      </c>
      <c r="C313" s="6" t="inlineStr">
        <is>
          <t>C105</t>
        </is>
      </c>
      <c r="D313" s="6" t="inlineStr">
        <is>
          <t>P02</t>
        </is>
      </c>
      <c r="E313" s="6" t="n">
        <v>27</v>
      </c>
      <c r="F313" s="7" t="n">
        <v>110</v>
      </c>
      <c r="G313" s="6">
        <f>IFERROR(INDEX('לקוחות'!$B:$B,MATCH(C313,'לקוחות'!$A:$A,0)),"לא נמצא")</f>
        <v/>
      </c>
      <c r="H313" s="7">
        <f>E313*F313</f>
        <v/>
      </c>
      <c r="I313" s="6">
        <f>MONTH(A313)</f>
        <v/>
      </c>
      <c r="J313" s="7">
        <f>INDEX('מוצרים'!$D:$D,MATCH(D313,'מוצרים'!$A:$A,0))</f>
        <v/>
      </c>
      <c r="K313" s="7">
        <f>(F313-J313)*E313</f>
        <v/>
      </c>
      <c r="L313" s="6">
        <f>IF(COUNTIF($B:$B,B313)&gt;1,"כפולה","")</f>
        <v/>
      </c>
    </row>
    <row r="314">
      <c r="A314" s="5" t="n">
        <v>46166</v>
      </c>
      <c r="B314" s="6" t="n">
        <v>50310</v>
      </c>
      <c r="C314" s="6" t="inlineStr">
        <is>
          <t>C101</t>
        </is>
      </c>
      <c r="D314" s="6" t="inlineStr">
        <is>
          <t>P05</t>
        </is>
      </c>
      <c r="E314" s="6" t="n">
        <v>17</v>
      </c>
      <c r="F314" s="7" t="n">
        <v>150</v>
      </c>
      <c r="G314" s="6">
        <f>IFERROR(INDEX('לקוחות'!$B:$B,MATCH(C314,'לקוחות'!$A:$A,0)),"לא נמצא")</f>
        <v/>
      </c>
      <c r="H314" s="7">
        <f>E314*F314</f>
        <v/>
      </c>
      <c r="I314" s="6">
        <f>MONTH(A314)</f>
        <v/>
      </c>
      <c r="J314" s="7">
        <f>INDEX('מוצרים'!$D:$D,MATCH(D314,'מוצרים'!$A:$A,0))</f>
        <v/>
      </c>
      <c r="K314" s="7">
        <f>(F314-J314)*E314</f>
        <v/>
      </c>
      <c r="L314" s="6">
        <f>IF(COUNTIF($B:$B,B314)&gt;1,"כפולה","")</f>
        <v/>
      </c>
    </row>
    <row r="315">
      <c r="A315" s="5" t="n">
        <v>46166</v>
      </c>
      <c r="B315" s="6" t="n">
        <v>50311</v>
      </c>
      <c r="C315" s="6" t="inlineStr">
        <is>
          <t>C103</t>
        </is>
      </c>
      <c r="D315" s="6" t="inlineStr">
        <is>
          <t>P06</t>
        </is>
      </c>
      <c r="E315" s="6" t="n">
        <v>36</v>
      </c>
      <c r="F315" s="7" t="n">
        <v>70</v>
      </c>
      <c r="G315" s="6">
        <f>IFERROR(INDEX('לקוחות'!$B:$B,MATCH(C315,'לקוחות'!$A:$A,0)),"לא נמצא")</f>
        <v/>
      </c>
      <c r="H315" s="7">
        <f>E315*F315</f>
        <v/>
      </c>
      <c r="I315" s="6">
        <f>MONTH(A315)</f>
        <v/>
      </c>
      <c r="J315" s="7">
        <f>INDEX('מוצרים'!$D:$D,MATCH(D315,'מוצרים'!$A:$A,0))</f>
        <v/>
      </c>
      <c r="K315" s="7">
        <f>(F315-J315)*E315</f>
        <v/>
      </c>
      <c r="L315" s="6">
        <f>IF(COUNTIF($B:$B,B315)&gt;1,"כפולה","")</f>
        <v/>
      </c>
    </row>
    <row r="316">
      <c r="A316" s="5" t="n">
        <v>46167</v>
      </c>
      <c r="B316" s="6" t="n">
        <v>50312</v>
      </c>
      <c r="C316" s="6" t="inlineStr">
        <is>
          <t>C108</t>
        </is>
      </c>
      <c r="D316" s="6" t="inlineStr">
        <is>
          <t>P06</t>
        </is>
      </c>
      <c r="E316" s="6" t="n">
        <v>17</v>
      </c>
      <c r="F316" s="7" t="n">
        <v>70</v>
      </c>
      <c r="G316" s="6">
        <f>IFERROR(INDEX('לקוחות'!$B:$B,MATCH(C316,'לקוחות'!$A:$A,0)),"לא נמצא")</f>
        <v/>
      </c>
      <c r="H316" s="7">
        <f>E316*F316</f>
        <v/>
      </c>
      <c r="I316" s="6">
        <f>MONTH(A316)</f>
        <v/>
      </c>
      <c r="J316" s="7">
        <f>INDEX('מוצרים'!$D:$D,MATCH(D316,'מוצרים'!$A:$A,0))</f>
        <v/>
      </c>
      <c r="K316" s="7">
        <f>(F316-J316)*E316</f>
        <v/>
      </c>
      <c r="L316" s="6">
        <f>IF(COUNTIF($B:$B,B316)&gt;1,"כפולה","")</f>
        <v/>
      </c>
    </row>
    <row r="317">
      <c r="A317" s="5" t="n">
        <v>46167</v>
      </c>
      <c r="B317" s="6" t="n">
        <v>50313</v>
      </c>
      <c r="C317" s="6" t="inlineStr">
        <is>
          <t>C102</t>
        </is>
      </c>
      <c r="D317" s="6" t="inlineStr">
        <is>
          <t>P03</t>
        </is>
      </c>
      <c r="E317" s="6" t="n">
        <v>12</v>
      </c>
      <c r="F317" s="7" t="n">
        <v>12</v>
      </c>
      <c r="G317" s="6">
        <f>IFERROR(INDEX('לקוחות'!$B:$B,MATCH(C317,'לקוחות'!$A:$A,0)),"לא נמצא")</f>
        <v/>
      </c>
      <c r="H317" s="7">
        <f>E317*F317</f>
        <v/>
      </c>
      <c r="I317" s="6">
        <f>MONTH(A317)</f>
        <v/>
      </c>
      <c r="J317" s="7">
        <f>INDEX('מוצרים'!$D:$D,MATCH(D317,'מוצרים'!$A:$A,0))</f>
        <v/>
      </c>
      <c r="K317" s="7">
        <f>(F317-J317)*E317</f>
        <v/>
      </c>
      <c r="L317" s="6">
        <f>IF(COUNTIF($B:$B,B317)&gt;1,"כפולה","")</f>
        <v/>
      </c>
    </row>
    <row r="318">
      <c r="A318" s="5" t="n">
        <v>46167</v>
      </c>
      <c r="B318" s="6" t="n">
        <v>50314</v>
      </c>
      <c r="C318" s="6" t="inlineStr">
        <is>
          <t>C109</t>
        </is>
      </c>
      <c r="D318" s="6" t="inlineStr">
        <is>
          <t>P08</t>
        </is>
      </c>
      <c r="E318" s="6" t="n">
        <v>37</v>
      </c>
      <c r="F318" s="7" t="n">
        <v>199</v>
      </c>
      <c r="G318" s="6">
        <f>IFERROR(INDEX('לקוחות'!$B:$B,MATCH(C318,'לקוחות'!$A:$A,0)),"לא נמצא")</f>
        <v/>
      </c>
      <c r="H318" s="7">
        <f>E318*F318</f>
        <v/>
      </c>
      <c r="I318" s="6">
        <f>MONTH(A318)</f>
        <v/>
      </c>
      <c r="J318" s="7">
        <f>INDEX('מוצרים'!$D:$D,MATCH(D318,'מוצרים'!$A:$A,0))</f>
        <v/>
      </c>
      <c r="K318" s="7">
        <f>(F318-J318)*E318</f>
        <v/>
      </c>
      <c r="L318" s="6">
        <f>IF(COUNTIF($B:$B,B318)&gt;1,"כפולה","")</f>
        <v/>
      </c>
    </row>
    <row r="319">
      <c r="A319" s="5" t="n">
        <v>46168</v>
      </c>
      <c r="B319" s="6" t="n">
        <v>50315</v>
      </c>
      <c r="C319" s="6" t="inlineStr">
        <is>
          <t>C101</t>
        </is>
      </c>
      <c r="D319" s="6" t="inlineStr">
        <is>
          <t>P02</t>
        </is>
      </c>
      <c r="E319" s="6" t="n">
        <v>32</v>
      </c>
      <c r="F319" s="7" t="n">
        <v>110</v>
      </c>
      <c r="G319" s="6">
        <f>IFERROR(INDEX('לקוחות'!$B:$B,MATCH(C319,'לקוחות'!$A:$A,0)),"לא נמצא")</f>
        <v/>
      </c>
      <c r="H319" s="7">
        <f>E319*F319</f>
        <v/>
      </c>
      <c r="I319" s="6">
        <f>MONTH(A319)</f>
        <v/>
      </c>
      <c r="J319" s="7">
        <f>INDEX('מוצרים'!$D:$D,MATCH(D319,'מוצרים'!$A:$A,0))</f>
        <v/>
      </c>
      <c r="K319" s="7">
        <f>(F319-J319)*E319</f>
        <v/>
      </c>
      <c r="L319" s="6">
        <f>IF(COUNTIF($B:$B,B319)&gt;1,"כפולה","")</f>
        <v/>
      </c>
    </row>
    <row r="320">
      <c r="A320" s="5" t="n">
        <v>46168</v>
      </c>
      <c r="B320" s="6" t="n">
        <v>50316</v>
      </c>
      <c r="C320" s="6" t="inlineStr">
        <is>
          <t>C109</t>
        </is>
      </c>
      <c r="D320" s="6" t="inlineStr">
        <is>
          <t>P07</t>
        </is>
      </c>
      <c r="E320" s="6" t="n">
        <v>22</v>
      </c>
      <c r="F320" s="7" t="n">
        <v>86</v>
      </c>
      <c r="G320" s="6">
        <f>IFERROR(INDEX('לקוחות'!$B:$B,MATCH(C320,'לקוחות'!$A:$A,0)),"לא נמצא")</f>
        <v/>
      </c>
      <c r="H320" s="7">
        <f>E320*F320</f>
        <v/>
      </c>
      <c r="I320" s="6">
        <f>MONTH(A320)</f>
        <v/>
      </c>
      <c r="J320" s="7">
        <f>INDEX('מוצרים'!$D:$D,MATCH(D320,'מוצרים'!$A:$A,0))</f>
        <v/>
      </c>
      <c r="K320" s="7">
        <f>(F320-J320)*E320</f>
        <v/>
      </c>
      <c r="L320" s="6">
        <f>IF(COUNTIF($B:$B,B320)&gt;1,"כפולה","")</f>
        <v/>
      </c>
    </row>
    <row r="321">
      <c r="A321" s="5" t="n">
        <v>46169</v>
      </c>
      <c r="B321" s="6" t="n">
        <v>50317</v>
      </c>
      <c r="C321" s="6" t="inlineStr">
        <is>
          <t>C105</t>
        </is>
      </c>
      <c r="D321" s="6" t="inlineStr">
        <is>
          <t>P05</t>
        </is>
      </c>
      <c r="E321" s="6" t="n">
        <v>19</v>
      </c>
      <c r="F321" s="7" t="n">
        <v>135</v>
      </c>
      <c r="G321" s="6">
        <f>IFERROR(INDEX('לקוחות'!$B:$B,MATCH(C321,'לקוחות'!$A:$A,0)),"לא נמצא")</f>
        <v/>
      </c>
      <c r="H321" s="7">
        <f>E321*F321</f>
        <v/>
      </c>
      <c r="I321" s="6">
        <f>MONTH(A321)</f>
        <v/>
      </c>
      <c r="J321" s="7">
        <f>INDEX('מוצרים'!$D:$D,MATCH(D321,'מוצרים'!$A:$A,0))</f>
        <v/>
      </c>
      <c r="K321" s="7">
        <f>(F321-J321)*E321</f>
        <v/>
      </c>
      <c r="L321" s="6">
        <f>IF(COUNTIF($B:$B,B321)&gt;1,"כפולה","")</f>
        <v/>
      </c>
    </row>
    <row r="322">
      <c r="A322" s="5" t="n">
        <v>46170</v>
      </c>
      <c r="B322" s="6" t="n">
        <v>50318</v>
      </c>
      <c r="C322" s="6" t="inlineStr">
        <is>
          <t>C100</t>
        </is>
      </c>
      <c r="D322" s="6" t="inlineStr">
        <is>
          <t>P03</t>
        </is>
      </c>
      <c r="E322" s="6" t="n">
        <v>10</v>
      </c>
      <c r="F322" s="7" t="n">
        <v>13</v>
      </c>
      <c r="G322" s="6">
        <f>IFERROR(INDEX('לקוחות'!$B:$B,MATCH(C322,'לקוחות'!$A:$A,0)),"לא נמצא")</f>
        <v/>
      </c>
      <c r="H322" s="7">
        <f>E322*F322</f>
        <v/>
      </c>
      <c r="I322" s="6">
        <f>MONTH(A322)</f>
        <v/>
      </c>
      <c r="J322" s="7">
        <f>INDEX('מוצרים'!$D:$D,MATCH(D322,'מוצרים'!$A:$A,0))</f>
        <v/>
      </c>
      <c r="K322" s="7">
        <f>(F322-J322)*E322</f>
        <v/>
      </c>
      <c r="L322" s="6">
        <f>IF(COUNTIF($B:$B,B322)&gt;1,"כפולה","")</f>
        <v/>
      </c>
    </row>
    <row r="323">
      <c r="A323" s="5" t="n">
        <v>46171</v>
      </c>
      <c r="B323" s="6" t="n">
        <v>50319</v>
      </c>
      <c r="C323" s="6" t="inlineStr">
        <is>
          <t>C109</t>
        </is>
      </c>
      <c r="D323" s="6" t="inlineStr">
        <is>
          <t>P06</t>
        </is>
      </c>
      <c r="E323" s="6" t="n">
        <v>30</v>
      </c>
      <c r="F323" s="7" t="n">
        <v>70</v>
      </c>
      <c r="G323" s="6">
        <f>IFERROR(INDEX('לקוחות'!$B:$B,MATCH(C323,'לקוחות'!$A:$A,0)),"לא נמצא")</f>
        <v/>
      </c>
      <c r="H323" s="7">
        <f>E323*F323</f>
        <v/>
      </c>
      <c r="I323" s="6">
        <f>MONTH(A323)</f>
        <v/>
      </c>
      <c r="J323" s="7">
        <f>INDEX('מוצרים'!$D:$D,MATCH(D323,'מוצרים'!$A:$A,0))</f>
        <v/>
      </c>
      <c r="K323" s="7">
        <f>(F323-J323)*E323</f>
        <v/>
      </c>
      <c r="L323" s="6">
        <f>IF(COUNTIF($B:$B,B323)&gt;1,"כפולה","")</f>
        <v/>
      </c>
    </row>
    <row r="324">
      <c r="A324" s="5" t="n">
        <v>46172</v>
      </c>
      <c r="B324" s="6" t="n">
        <v>50320</v>
      </c>
      <c r="C324" s="6" t="inlineStr">
        <is>
          <t>C106</t>
        </is>
      </c>
      <c r="D324" s="6" t="inlineStr">
        <is>
          <t>P06</t>
        </is>
      </c>
      <c r="E324" s="6" t="n">
        <v>15</v>
      </c>
      <c r="F324" s="7" t="n">
        <v>70</v>
      </c>
      <c r="G324" s="6">
        <f>IFERROR(INDEX('לקוחות'!$B:$B,MATCH(C324,'לקוחות'!$A:$A,0)),"לא נמצא")</f>
        <v/>
      </c>
      <c r="H324" s="7">
        <f>E324*F324</f>
        <v/>
      </c>
      <c r="I324" s="6">
        <f>MONTH(A324)</f>
        <v/>
      </c>
      <c r="J324" s="7">
        <f>INDEX('מוצרים'!$D:$D,MATCH(D324,'מוצרים'!$A:$A,0))</f>
        <v/>
      </c>
      <c r="K324" s="7">
        <f>(F324-J324)*E324</f>
        <v/>
      </c>
      <c r="L324" s="6">
        <f>IF(COUNTIF($B:$B,B324)&gt;1,"כפולה","")</f>
        <v/>
      </c>
    </row>
    <row r="325">
      <c r="A325" s="5" t="n">
        <v>46172</v>
      </c>
      <c r="B325" s="6" t="n">
        <v>50321</v>
      </c>
      <c r="C325" s="6" t="inlineStr">
        <is>
          <t>C107</t>
        </is>
      </c>
      <c r="D325" s="6" t="inlineStr">
        <is>
          <t>P03</t>
        </is>
      </c>
      <c r="E325" s="6" t="n">
        <v>4</v>
      </c>
      <c r="F325" s="7" t="n">
        <v>13</v>
      </c>
      <c r="G325" s="6">
        <f>IFERROR(INDEX('לקוחות'!$B:$B,MATCH(C325,'לקוחות'!$A:$A,0)),"לא נמצא")</f>
        <v/>
      </c>
      <c r="H325" s="7">
        <f>E325*F325</f>
        <v/>
      </c>
      <c r="I325" s="6">
        <f>MONTH(A325)</f>
        <v/>
      </c>
      <c r="J325" s="7">
        <f>INDEX('מוצרים'!$D:$D,MATCH(D325,'מוצרים'!$A:$A,0))</f>
        <v/>
      </c>
      <c r="K325" s="7">
        <f>(F325-J325)*E325</f>
        <v/>
      </c>
      <c r="L325" s="6">
        <f>IF(COUNTIF($B:$B,B325)&gt;1,"כפולה","")</f>
        <v/>
      </c>
    </row>
    <row r="326">
      <c r="A326" s="5" t="n">
        <v>46172</v>
      </c>
      <c r="B326" s="6" t="n">
        <v>50322</v>
      </c>
      <c r="C326" s="6" t="inlineStr">
        <is>
          <t>C106</t>
        </is>
      </c>
      <c r="D326" s="6" t="inlineStr">
        <is>
          <t>P08</t>
        </is>
      </c>
      <c r="E326" s="6" t="n">
        <v>6</v>
      </c>
      <c r="F326" s="7" t="n">
        <v>199</v>
      </c>
      <c r="G326" s="6">
        <f>IFERROR(INDEX('לקוחות'!$B:$B,MATCH(C326,'לקוחות'!$A:$A,0)),"לא נמצא")</f>
        <v/>
      </c>
      <c r="H326" s="7">
        <f>E326*F326</f>
        <v/>
      </c>
      <c r="I326" s="6">
        <f>MONTH(A326)</f>
        <v/>
      </c>
      <c r="J326" s="7">
        <f>INDEX('מוצרים'!$D:$D,MATCH(D326,'מוצרים'!$A:$A,0))</f>
        <v/>
      </c>
      <c r="K326" s="7">
        <f>(F326-J326)*E326</f>
        <v/>
      </c>
      <c r="L326" s="6">
        <f>IF(COUNTIF($B:$B,B326)&gt;1,"כפולה","")</f>
        <v/>
      </c>
    </row>
    <row r="327">
      <c r="A327" s="5" t="n">
        <v>46174</v>
      </c>
      <c r="B327" s="6" t="n">
        <v>50323</v>
      </c>
      <c r="C327" s="6" t="inlineStr">
        <is>
          <t>C104</t>
        </is>
      </c>
      <c r="D327" s="6" t="inlineStr">
        <is>
          <t>P06</t>
        </is>
      </c>
      <c r="E327" s="6" t="n">
        <v>16</v>
      </c>
      <c r="F327" s="7" t="n">
        <v>70</v>
      </c>
      <c r="G327" s="6">
        <f>IFERROR(INDEX('לקוחות'!$B:$B,MATCH(C327,'לקוחות'!$A:$A,0)),"לא נמצא")</f>
        <v/>
      </c>
      <c r="H327" s="7">
        <f>E327*F327</f>
        <v/>
      </c>
      <c r="I327" s="6">
        <f>MONTH(A327)</f>
        <v/>
      </c>
      <c r="J327" s="7">
        <f>INDEX('מוצרים'!$D:$D,MATCH(D327,'מוצרים'!$A:$A,0))</f>
        <v/>
      </c>
      <c r="K327" s="7">
        <f>(F327-J327)*E327</f>
        <v/>
      </c>
      <c r="L327" s="6">
        <f>IF(COUNTIF($B:$B,B327)&gt;1,"כפולה","")</f>
        <v/>
      </c>
    </row>
    <row r="328">
      <c r="A328" s="5" t="n">
        <v>46174</v>
      </c>
      <c r="B328" s="6" t="n">
        <v>50324</v>
      </c>
      <c r="C328" s="6" t="inlineStr">
        <is>
          <t>C109</t>
        </is>
      </c>
      <c r="D328" s="6" t="inlineStr">
        <is>
          <t>P03</t>
        </is>
      </c>
      <c r="E328" s="6" t="n">
        <v>11</v>
      </c>
      <c r="F328" s="7" t="n">
        <v>13</v>
      </c>
      <c r="G328" s="6">
        <f>IFERROR(INDEX('לקוחות'!$B:$B,MATCH(C328,'לקוחות'!$A:$A,0)),"לא נמצא")</f>
        <v/>
      </c>
      <c r="H328" s="7">
        <f>E328*F328</f>
        <v/>
      </c>
      <c r="I328" s="6">
        <f>MONTH(A328)</f>
        <v/>
      </c>
      <c r="J328" s="7">
        <f>INDEX('מוצרים'!$D:$D,MATCH(D328,'מוצרים'!$A:$A,0))</f>
        <v/>
      </c>
      <c r="K328" s="7">
        <f>(F328-J328)*E328</f>
        <v/>
      </c>
      <c r="L328" s="6">
        <f>IF(COUNTIF($B:$B,B328)&gt;1,"כפולה","")</f>
        <v/>
      </c>
    </row>
    <row r="329">
      <c r="A329" s="5" t="n">
        <v>46175</v>
      </c>
      <c r="B329" s="6" t="n">
        <v>50325</v>
      </c>
      <c r="C329" s="6" t="inlineStr">
        <is>
          <t>C100</t>
        </is>
      </c>
      <c r="D329" s="6" t="inlineStr">
        <is>
          <t>P02</t>
        </is>
      </c>
      <c r="E329" s="6" t="n">
        <v>27</v>
      </c>
      <c r="F329" s="7" t="n">
        <v>110</v>
      </c>
      <c r="G329" s="6">
        <f>IFERROR(INDEX('לקוחות'!$B:$B,MATCH(C329,'לקוחות'!$A:$A,0)),"לא נמצא")</f>
        <v/>
      </c>
      <c r="H329" s="7">
        <f>E329*F329</f>
        <v/>
      </c>
      <c r="I329" s="6">
        <f>MONTH(A329)</f>
        <v/>
      </c>
      <c r="J329" s="7">
        <f>INDEX('מוצרים'!$D:$D,MATCH(D329,'מוצרים'!$A:$A,0))</f>
        <v/>
      </c>
      <c r="K329" s="7">
        <f>(F329-J329)*E329</f>
        <v/>
      </c>
      <c r="L329" s="6">
        <f>IF(COUNTIF($B:$B,B329)&gt;1,"כפולה","")</f>
        <v/>
      </c>
    </row>
    <row r="330">
      <c r="A330" s="5" t="n">
        <v>46175</v>
      </c>
      <c r="B330" s="6" t="n">
        <v>50326</v>
      </c>
      <c r="C330" s="6" t="inlineStr">
        <is>
          <t>C107</t>
        </is>
      </c>
      <c r="D330" s="6" t="inlineStr">
        <is>
          <t>P05</t>
        </is>
      </c>
      <c r="E330" s="6" t="n">
        <v>3</v>
      </c>
      <c r="F330" s="7" t="n">
        <v>150</v>
      </c>
      <c r="G330" s="6">
        <f>IFERROR(INDEX('לקוחות'!$B:$B,MATCH(C330,'לקוחות'!$A:$A,0)),"לא נמצא")</f>
        <v/>
      </c>
      <c r="H330" s="7">
        <f>E330*F330</f>
        <v/>
      </c>
      <c r="I330" s="6">
        <f>MONTH(A330)</f>
        <v/>
      </c>
      <c r="J330" s="7">
        <f>INDEX('מוצרים'!$D:$D,MATCH(D330,'מוצרים'!$A:$A,0))</f>
        <v/>
      </c>
      <c r="K330" s="7">
        <f>(F330-J330)*E330</f>
        <v/>
      </c>
      <c r="L330" s="6">
        <f>IF(COUNTIF($B:$B,B330)&gt;1,"כפולה","")</f>
        <v/>
      </c>
    </row>
    <row r="331">
      <c r="A331" s="5" t="n">
        <v>46175</v>
      </c>
      <c r="B331" s="6" t="n">
        <v>50327</v>
      </c>
      <c r="C331" s="6" t="inlineStr">
        <is>
          <t>C100</t>
        </is>
      </c>
      <c r="D331" s="6" t="inlineStr">
        <is>
          <t>P01</t>
        </is>
      </c>
      <c r="E331" s="6" t="n">
        <v>22</v>
      </c>
      <c r="F331" s="7" t="n">
        <v>85</v>
      </c>
      <c r="G331" s="6">
        <f>IFERROR(INDEX('לקוחות'!$B:$B,MATCH(C331,'לקוחות'!$A:$A,0)),"לא נמצא")</f>
        <v/>
      </c>
      <c r="H331" s="7">
        <f>E331*F331</f>
        <v/>
      </c>
      <c r="I331" s="6">
        <f>MONTH(A331)</f>
        <v/>
      </c>
      <c r="J331" s="7">
        <f>INDEX('מוצרים'!$D:$D,MATCH(D331,'מוצרים'!$A:$A,0))</f>
        <v/>
      </c>
      <c r="K331" s="7">
        <f>(F331-J331)*E331</f>
        <v/>
      </c>
      <c r="L331" s="6">
        <f>IF(COUNTIF($B:$B,B331)&gt;1,"כפולה","")</f>
        <v/>
      </c>
    </row>
    <row r="332">
      <c r="A332" s="5" t="n">
        <v>46176</v>
      </c>
      <c r="B332" s="6" t="n">
        <v>50328</v>
      </c>
      <c r="C332" s="6" t="inlineStr">
        <is>
          <t>C101</t>
        </is>
      </c>
      <c r="D332" s="6" t="inlineStr">
        <is>
          <t>P01</t>
        </is>
      </c>
      <c r="E332" s="6" t="n">
        <v>23</v>
      </c>
      <c r="F332" s="7" t="n">
        <v>85</v>
      </c>
      <c r="G332" s="6">
        <f>IFERROR(INDEX('לקוחות'!$B:$B,MATCH(C332,'לקוחות'!$A:$A,0)),"לא נמצא")</f>
        <v/>
      </c>
      <c r="H332" s="7">
        <f>E332*F332</f>
        <v/>
      </c>
      <c r="I332" s="6">
        <f>MONTH(A332)</f>
        <v/>
      </c>
      <c r="J332" s="7">
        <f>INDEX('מוצרים'!$D:$D,MATCH(D332,'מוצרים'!$A:$A,0))</f>
        <v/>
      </c>
      <c r="K332" s="7">
        <f>(F332-J332)*E332</f>
        <v/>
      </c>
      <c r="L332" s="6">
        <f>IF(COUNTIF($B:$B,B332)&gt;1,"כפולה","")</f>
        <v/>
      </c>
    </row>
    <row r="333">
      <c r="A333" s="5" t="n">
        <v>46177</v>
      </c>
      <c r="B333" s="6" t="n">
        <v>50329</v>
      </c>
      <c r="C333" s="6" t="inlineStr">
        <is>
          <t>C105</t>
        </is>
      </c>
      <c r="D333" s="6" t="inlineStr">
        <is>
          <t>P01</t>
        </is>
      </c>
      <c r="E333" s="6" t="n">
        <v>2</v>
      </c>
      <c r="F333" s="7" t="n">
        <v>85</v>
      </c>
      <c r="G333" s="6">
        <f>IFERROR(INDEX('לקוחות'!$B:$B,MATCH(C333,'לקוחות'!$A:$A,0)),"לא נמצא")</f>
        <v/>
      </c>
      <c r="H333" s="7">
        <f>E333*F333</f>
        <v/>
      </c>
      <c r="I333" s="6">
        <f>MONTH(A333)</f>
        <v/>
      </c>
      <c r="J333" s="7">
        <f>INDEX('מוצרים'!$D:$D,MATCH(D333,'מוצרים'!$A:$A,0))</f>
        <v/>
      </c>
      <c r="K333" s="7">
        <f>(F333-J333)*E333</f>
        <v/>
      </c>
      <c r="L333" s="6">
        <f>IF(COUNTIF($B:$B,B333)&gt;1,"כפולה","")</f>
        <v/>
      </c>
    </row>
    <row r="334">
      <c r="A334" s="5" t="n">
        <v>46178</v>
      </c>
      <c r="B334" s="6" t="n">
        <v>50330</v>
      </c>
      <c r="C334" s="6" t="inlineStr">
        <is>
          <t>C103</t>
        </is>
      </c>
      <c r="D334" s="6" t="inlineStr">
        <is>
          <t>P03</t>
        </is>
      </c>
      <c r="E334" s="6" t="n">
        <v>20</v>
      </c>
      <c r="F334" s="7" t="n">
        <v>13</v>
      </c>
      <c r="G334" s="6">
        <f>IFERROR(INDEX('לקוחות'!$B:$B,MATCH(C334,'לקוחות'!$A:$A,0)),"לא נמצא")</f>
        <v/>
      </c>
      <c r="H334" s="7">
        <f>E334*F334</f>
        <v/>
      </c>
      <c r="I334" s="6">
        <f>MONTH(A334)</f>
        <v/>
      </c>
      <c r="J334" s="7">
        <f>INDEX('מוצרים'!$D:$D,MATCH(D334,'מוצרים'!$A:$A,0))</f>
        <v/>
      </c>
      <c r="K334" s="7">
        <f>(F334-J334)*E334</f>
        <v/>
      </c>
      <c r="L334" s="6">
        <f>IF(COUNTIF($B:$B,B334)&gt;1,"כפולה","")</f>
        <v/>
      </c>
    </row>
    <row r="335">
      <c r="A335" s="5" t="n">
        <v>46181</v>
      </c>
      <c r="B335" s="6" t="n">
        <v>50331</v>
      </c>
      <c r="C335" s="6" t="inlineStr">
        <is>
          <t>C104</t>
        </is>
      </c>
      <c r="D335" s="6" t="inlineStr">
        <is>
          <t>P03</t>
        </is>
      </c>
      <c r="E335" s="6" t="n">
        <v>7</v>
      </c>
      <c r="F335" s="7" t="n">
        <v>13</v>
      </c>
      <c r="G335" s="6">
        <f>IFERROR(INDEX('לקוחות'!$B:$B,MATCH(C335,'לקוחות'!$A:$A,0)),"לא נמצא")</f>
        <v/>
      </c>
      <c r="H335" s="7">
        <f>E335*F335</f>
        <v/>
      </c>
      <c r="I335" s="6">
        <f>MONTH(A335)</f>
        <v/>
      </c>
      <c r="J335" s="7">
        <f>INDEX('מוצרים'!$D:$D,MATCH(D335,'מוצרים'!$A:$A,0))</f>
        <v/>
      </c>
      <c r="K335" s="7">
        <f>(F335-J335)*E335</f>
        <v/>
      </c>
      <c r="L335" s="6">
        <f>IF(COUNTIF($B:$B,B335)&gt;1,"כפולה","")</f>
        <v/>
      </c>
    </row>
    <row r="336">
      <c r="A336" s="5" t="n">
        <v>46181</v>
      </c>
      <c r="B336" s="6" t="n">
        <v>50332</v>
      </c>
      <c r="C336" s="6" t="inlineStr">
        <is>
          <t>C100</t>
        </is>
      </c>
      <c r="D336" s="6" t="inlineStr">
        <is>
          <t>P02</t>
        </is>
      </c>
      <c r="E336" s="6" t="n">
        <v>18</v>
      </c>
      <c r="F336" s="7" t="n">
        <v>110</v>
      </c>
      <c r="G336" s="6">
        <f>IFERROR(INDEX('לקוחות'!$B:$B,MATCH(C336,'לקוחות'!$A:$A,0)),"לא נמצא")</f>
        <v/>
      </c>
      <c r="H336" s="7">
        <f>E336*F336</f>
        <v/>
      </c>
      <c r="I336" s="6">
        <f>MONTH(A336)</f>
        <v/>
      </c>
      <c r="J336" s="7">
        <f>INDEX('מוצרים'!$D:$D,MATCH(D336,'מוצרים'!$A:$A,0))</f>
        <v/>
      </c>
      <c r="K336" s="7">
        <f>(F336-J336)*E336</f>
        <v/>
      </c>
      <c r="L336" s="6">
        <f>IF(COUNTIF($B:$B,B336)&gt;1,"כפולה","")</f>
        <v/>
      </c>
    </row>
    <row r="337">
      <c r="A337" s="5" t="n">
        <v>46181</v>
      </c>
      <c r="B337" s="6" t="n">
        <v>50333</v>
      </c>
      <c r="C337" s="6" t="inlineStr">
        <is>
          <t>C102</t>
        </is>
      </c>
      <c r="D337" s="6" t="inlineStr">
        <is>
          <t>P07</t>
        </is>
      </c>
      <c r="E337" s="6" t="n">
        <v>10</v>
      </c>
      <c r="F337" s="7" t="n">
        <v>95</v>
      </c>
      <c r="G337" s="6">
        <f>IFERROR(INDEX('לקוחות'!$B:$B,MATCH(C337,'לקוחות'!$A:$A,0)),"לא נמצא")</f>
        <v/>
      </c>
      <c r="H337" s="7">
        <f>E337*F337</f>
        <v/>
      </c>
      <c r="I337" s="6">
        <f>MONTH(A337)</f>
        <v/>
      </c>
      <c r="J337" s="7">
        <f>INDEX('מוצרים'!$D:$D,MATCH(D337,'מוצרים'!$A:$A,0))</f>
        <v/>
      </c>
      <c r="K337" s="7">
        <f>(F337-J337)*E337</f>
        <v/>
      </c>
      <c r="L337" s="6">
        <f>IF(COUNTIF($B:$B,B337)&gt;1,"כפולה","")</f>
        <v/>
      </c>
    </row>
    <row r="338">
      <c r="A338" s="5" t="n">
        <v>46182</v>
      </c>
      <c r="B338" s="6" t="n">
        <v>50334</v>
      </c>
      <c r="C338" s="6" t="inlineStr">
        <is>
          <t>C108</t>
        </is>
      </c>
      <c r="D338" s="6" t="inlineStr">
        <is>
          <t>P01</t>
        </is>
      </c>
      <c r="E338" s="6" t="n">
        <v>26</v>
      </c>
      <c r="F338" s="7" t="n">
        <v>85</v>
      </c>
      <c r="G338" s="6">
        <f>IFERROR(INDEX('לקוחות'!$B:$B,MATCH(C338,'לקוחות'!$A:$A,0)),"לא נמצא")</f>
        <v/>
      </c>
      <c r="H338" s="7">
        <f>E338*F338</f>
        <v/>
      </c>
      <c r="I338" s="6">
        <f>MONTH(A338)</f>
        <v/>
      </c>
      <c r="J338" s="7">
        <f>INDEX('מוצרים'!$D:$D,MATCH(D338,'מוצרים'!$A:$A,0))</f>
        <v/>
      </c>
      <c r="K338" s="7">
        <f>(F338-J338)*E338</f>
        <v/>
      </c>
      <c r="L338" s="6">
        <f>IF(COUNTIF($B:$B,B338)&gt;1,"כפולה","")</f>
        <v/>
      </c>
    </row>
    <row r="339">
      <c r="A339" s="5" t="n">
        <v>46182</v>
      </c>
      <c r="B339" s="6" t="n">
        <v>50335</v>
      </c>
      <c r="C339" s="6" t="inlineStr">
        <is>
          <t>C109</t>
        </is>
      </c>
      <c r="D339" s="6" t="inlineStr">
        <is>
          <t>P06</t>
        </is>
      </c>
      <c r="E339" s="6" t="n">
        <v>25</v>
      </c>
      <c r="F339" s="7" t="n">
        <v>70</v>
      </c>
      <c r="G339" s="6">
        <f>IFERROR(INDEX('לקוחות'!$B:$B,MATCH(C339,'לקוחות'!$A:$A,0)),"לא נמצא")</f>
        <v/>
      </c>
      <c r="H339" s="7">
        <f>E339*F339</f>
        <v/>
      </c>
      <c r="I339" s="6">
        <f>MONTH(A339)</f>
        <v/>
      </c>
      <c r="J339" s="7">
        <f>INDEX('מוצרים'!$D:$D,MATCH(D339,'מוצרים'!$A:$A,0))</f>
        <v/>
      </c>
      <c r="K339" s="7">
        <f>(F339-J339)*E339</f>
        <v/>
      </c>
      <c r="L339" s="6">
        <f>IF(COUNTIF($B:$B,B339)&gt;1,"כפולה","")</f>
        <v/>
      </c>
    </row>
    <row r="340">
      <c r="A340" s="5" t="n">
        <v>46182</v>
      </c>
      <c r="B340" s="6" t="n">
        <v>50336</v>
      </c>
      <c r="C340" s="6" t="inlineStr">
        <is>
          <t>C109</t>
        </is>
      </c>
      <c r="D340" s="6" t="inlineStr">
        <is>
          <t>P01</t>
        </is>
      </c>
      <c r="E340" s="6" t="n">
        <v>39</v>
      </c>
      <c r="F340" s="7" t="n">
        <v>85</v>
      </c>
      <c r="G340" s="6">
        <f>IFERROR(INDEX('לקוחות'!$B:$B,MATCH(C340,'לקוחות'!$A:$A,0)),"לא נמצא")</f>
        <v/>
      </c>
      <c r="H340" s="7">
        <f>E340*F340</f>
        <v/>
      </c>
      <c r="I340" s="6">
        <f>MONTH(A340)</f>
        <v/>
      </c>
      <c r="J340" s="7">
        <f>INDEX('מוצרים'!$D:$D,MATCH(D340,'מוצרים'!$A:$A,0))</f>
        <v/>
      </c>
      <c r="K340" s="7">
        <f>(F340-J340)*E340</f>
        <v/>
      </c>
      <c r="L340" s="6">
        <f>IF(COUNTIF($B:$B,B340)&gt;1,"כפולה","")</f>
        <v/>
      </c>
    </row>
    <row r="341">
      <c r="A341" s="5" t="n">
        <v>46182</v>
      </c>
      <c r="B341" s="6" t="n">
        <v>50337</v>
      </c>
      <c r="C341" s="6" t="inlineStr">
        <is>
          <t>C105</t>
        </is>
      </c>
      <c r="D341" s="6" t="inlineStr">
        <is>
          <t>P06</t>
        </is>
      </c>
      <c r="E341" s="6" t="n">
        <v>10</v>
      </c>
      <c r="F341" s="7" t="n">
        <v>70</v>
      </c>
      <c r="G341" s="6">
        <f>IFERROR(INDEX('לקוחות'!$B:$B,MATCH(C341,'לקוחות'!$A:$A,0)),"לא נמצא")</f>
        <v/>
      </c>
      <c r="H341" s="7">
        <f>E341*F341</f>
        <v/>
      </c>
      <c r="I341" s="6">
        <f>MONTH(A341)</f>
        <v/>
      </c>
      <c r="J341" s="7">
        <f>INDEX('מוצרים'!$D:$D,MATCH(D341,'מוצרים'!$A:$A,0))</f>
        <v/>
      </c>
      <c r="K341" s="7">
        <f>(F341-J341)*E341</f>
        <v/>
      </c>
      <c r="L341" s="6">
        <f>IF(COUNTIF($B:$B,B341)&gt;1,"כפולה","")</f>
        <v/>
      </c>
    </row>
    <row r="342">
      <c r="A342" s="5" t="n">
        <v>46182</v>
      </c>
      <c r="B342" s="6" t="n">
        <v>50338</v>
      </c>
      <c r="C342" s="6" t="inlineStr">
        <is>
          <t>C109</t>
        </is>
      </c>
      <c r="D342" s="6" t="inlineStr">
        <is>
          <t>P02</t>
        </is>
      </c>
      <c r="E342" s="6" t="n">
        <v>9</v>
      </c>
      <c r="F342" s="7" t="n">
        <v>110</v>
      </c>
      <c r="G342" s="6">
        <f>IFERROR(INDEX('לקוחות'!$B:$B,MATCH(C342,'לקוחות'!$A:$A,0)),"לא נמצא")</f>
        <v/>
      </c>
      <c r="H342" s="7">
        <f>E342*F342</f>
        <v/>
      </c>
      <c r="I342" s="6">
        <f>MONTH(A342)</f>
        <v/>
      </c>
      <c r="J342" s="7">
        <f>INDEX('מוצרים'!$D:$D,MATCH(D342,'מוצרים'!$A:$A,0))</f>
        <v/>
      </c>
      <c r="K342" s="7">
        <f>(F342-J342)*E342</f>
        <v/>
      </c>
      <c r="L342" s="6">
        <f>IF(COUNTIF($B:$B,B342)&gt;1,"כפולה","")</f>
        <v/>
      </c>
    </row>
    <row r="343">
      <c r="A343" s="5" t="n">
        <v>46183</v>
      </c>
      <c r="B343" s="6" t="n">
        <v>50339</v>
      </c>
      <c r="C343" s="6" t="inlineStr">
        <is>
          <t>C109</t>
        </is>
      </c>
      <c r="D343" s="6" t="inlineStr">
        <is>
          <t>P06</t>
        </is>
      </c>
      <c r="E343" s="6" t="n">
        <v>37</v>
      </c>
      <c r="F343" s="7" t="n">
        <v>70</v>
      </c>
      <c r="G343" s="6">
        <f>IFERROR(INDEX('לקוחות'!$B:$B,MATCH(C343,'לקוחות'!$A:$A,0)),"לא נמצא")</f>
        <v/>
      </c>
      <c r="H343" s="7">
        <f>E343*F343</f>
        <v/>
      </c>
      <c r="I343" s="6">
        <f>MONTH(A343)</f>
        <v/>
      </c>
      <c r="J343" s="7">
        <f>INDEX('מוצרים'!$D:$D,MATCH(D343,'מוצרים'!$A:$A,0))</f>
        <v/>
      </c>
      <c r="K343" s="7">
        <f>(F343-J343)*E343</f>
        <v/>
      </c>
      <c r="L343" s="6">
        <f>IF(COUNTIF($B:$B,B343)&gt;1,"כפולה","")</f>
        <v/>
      </c>
    </row>
    <row r="344">
      <c r="A344" s="5" t="n">
        <v>46183</v>
      </c>
      <c r="B344" s="6" t="n">
        <v>50340</v>
      </c>
      <c r="C344" s="6" t="inlineStr">
        <is>
          <t>C103</t>
        </is>
      </c>
      <c r="D344" s="6" t="inlineStr">
        <is>
          <t>P02</t>
        </is>
      </c>
      <c r="E344" s="6" t="n">
        <v>20</v>
      </c>
      <c r="F344" s="7" t="n">
        <v>110</v>
      </c>
      <c r="G344" s="6">
        <f>IFERROR(INDEX('לקוחות'!$B:$B,MATCH(C344,'לקוחות'!$A:$A,0)),"לא נמצא")</f>
        <v/>
      </c>
      <c r="H344" s="7">
        <f>E344*F344</f>
        <v/>
      </c>
      <c r="I344" s="6">
        <f>MONTH(A344)</f>
        <v/>
      </c>
      <c r="J344" s="7">
        <f>INDEX('מוצרים'!$D:$D,MATCH(D344,'מוצרים'!$A:$A,0))</f>
        <v/>
      </c>
      <c r="K344" s="7">
        <f>(F344-J344)*E344</f>
        <v/>
      </c>
      <c r="L344" s="6">
        <f>IF(COUNTIF($B:$B,B344)&gt;1,"כפולה","")</f>
        <v/>
      </c>
    </row>
    <row r="345">
      <c r="A345" s="5" t="n">
        <v>46183</v>
      </c>
      <c r="B345" s="6" t="n">
        <v>50341</v>
      </c>
      <c r="C345" s="6" t="inlineStr">
        <is>
          <t>C101</t>
        </is>
      </c>
      <c r="D345" s="6" t="inlineStr">
        <is>
          <t>P06</t>
        </is>
      </c>
      <c r="E345" s="6" t="n">
        <v>9</v>
      </c>
      <c r="F345" s="7" t="n">
        <v>63</v>
      </c>
      <c r="G345" s="6">
        <f>IFERROR(INDEX('לקוחות'!$B:$B,MATCH(C345,'לקוחות'!$A:$A,0)),"לא נמצא")</f>
        <v/>
      </c>
      <c r="H345" s="7">
        <f>E345*F345</f>
        <v/>
      </c>
      <c r="I345" s="6">
        <f>MONTH(A345)</f>
        <v/>
      </c>
      <c r="J345" s="7">
        <f>INDEX('מוצרים'!$D:$D,MATCH(D345,'מוצרים'!$A:$A,0))</f>
        <v/>
      </c>
      <c r="K345" s="7">
        <f>(F345-J345)*E345</f>
        <v/>
      </c>
      <c r="L345" s="6">
        <f>IF(COUNTIF($B:$B,B345)&gt;1,"כפולה","")</f>
        <v/>
      </c>
    </row>
    <row r="346">
      <c r="A346" s="5" t="n">
        <v>46183</v>
      </c>
      <c r="B346" s="6" t="n">
        <v>50342</v>
      </c>
      <c r="C346" s="6" t="inlineStr">
        <is>
          <t>C104</t>
        </is>
      </c>
      <c r="D346" s="6" t="inlineStr">
        <is>
          <t>P02</t>
        </is>
      </c>
      <c r="E346" s="6" t="n">
        <v>33</v>
      </c>
      <c r="F346" s="7" t="n">
        <v>110</v>
      </c>
      <c r="G346" s="6">
        <f>IFERROR(INDEX('לקוחות'!$B:$B,MATCH(C346,'לקוחות'!$A:$A,0)),"לא נמצא")</f>
        <v/>
      </c>
      <c r="H346" s="7">
        <f>E346*F346</f>
        <v/>
      </c>
      <c r="I346" s="6">
        <f>MONTH(A346)</f>
        <v/>
      </c>
      <c r="J346" s="7">
        <f>INDEX('מוצרים'!$D:$D,MATCH(D346,'מוצרים'!$A:$A,0))</f>
        <v/>
      </c>
      <c r="K346" s="7">
        <f>(F346-J346)*E346</f>
        <v/>
      </c>
      <c r="L346" s="6">
        <f>IF(COUNTIF($B:$B,B346)&gt;1,"כפולה","")</f>
        <v/>
      </c>
    </row>
    <row r="347">
      <c r="A347" s="5" t="n">
        <v>46184</v>
      </c>
      <c r="B347" s="6" t="n">
        <v>50343</v>
      </c>
      <c r="C347" s="6" t="inlineStr">
        <is>
          <t>C100</t>
        </is>
      </c>
      <c r="D347" s="6" t="inlineStr">
        <is>
          <t>P04</t>
        </is>
      </c>
      <c r="E347" s="6" t="n">
        <v>5</v>
      </c>
      <c r="F347" s="7" t="n">
        <v>32</v>
      </c>
      <c r="G347" s="6">
        <f>IFERROR(INDEX('לקוחות'!$B:$B,MATCH(C347,'לקוחות'!$A:$A,0)),"לא נמצא")</f>
        <v/>
      </c>
      <c r="H347" s="7">
        <f>E347*F347</f>
        <v/>
      </c>
      <c r="I347" s="6">
        <f>MONTH(A347)</f>
        <v/>
      </c>
      <c r="J347" s="7">
        <f>INDEX('מוצרים'!$D:$D,MATCH(D347,'מוצרים'!$A:$A,0))</f>
        <v/>
      </c>
      <c r="K347" s="7">
        <f>(F347-J347)*E347</f>
        <v/>
      </c>
      <c r="L347" s="6">
        <f>IF(COUNTIF($B:$B,B347)&gt;1,"כפולה","")</f>
        <v/>
      </c>
    </row>
    <row r="348">
      <c r="A348" s="5" t="n">
        <v>46184</v>
      </c>
      <c r="B348" s="6" t="n">
        <v>50344</v>
      </c>
      <c r="C348" s="6" t="inlineStr">
        <is>
          <t>C104</t>
        </is>
      </c>
      <c r="D348" s="6" t="inlineStr">
        <is>
          <t>P04</t>
        </is>
      </c>
      <c r="E348" s="6" t="n">
        <v>6</v>
      </c>
      <c r="F348" s="7" t="n">
        <v>32</v>
      </c>
      <c r="G348" s="6">
        <f>IFERROR(INDEX('לקוחות'!$B:$B,MATCH(C348,'לקוחות'!$A:$A,0)),"לא נמצא")</f>
        <v/>
      </c>
      <c r="H348" s="7">
        <f>E348*F348</f>
        <v/>
      </c>
      <c r="I348" s="6">
        <f>MONTH(A348)</f>
        <v/>
      </c>
      <c r="J348" s="7">
        <f>INDEX('מוצרים'!$D:$D,MATCH(D348,'מוצרים'!$A:$A,0))</f>
        <v/>
      </c>
      <c r="K348" s="7">
        <f>(F348-J348)*E348</f>
        <v/>
      </c>
      <c r="L348" s="6">
        <f>IF(COUNTIF($B:$B,B348)&gt;1,"כפולה","")</f>
        <v/>
      </c>
    </row>
    <row r="349">
      <c r="A349" s="5" t="n">
        <v>46185</v>
      </c>
      <c r="B349" s="6" t="n">
        <v>50345</v>
      </c>
      <c r="C349" s="6" t="inlineStr">
        <is>
          <t>C100</t>
        </is>
      </c>
      <c r="D349" s="6" t="inlineStr">
        <is>
          <t>P02</t>
        </is>
      </c>
      <c r="E349" s="6" t="n">
        <v>34</v>
      </c>
      <c r="F349" s="7" t="n">
        <v>110</v>
      </c>
      <c r="G349" s="6">
        <f>IFERROR(INDEX('לקוחות'!$B:$B,MATCH(C349,'לקוחות'!$A:$A,0)),"לא נמצא")</f>
        <v/>
      </c>
      <c r="H349" s="7">
        <f>E349*F349</f>
        <v/>
      </c>
      <c r="I349" s="6">
        <f>MONTH(A349)</f>
        <v/>
      </c>
      <c r="J349" s="7">
        <f>INDEX('מוצרים'!$D:$D,MATCH(D349,'מוצרים'!$A:$A,0))</f>
        <v/>
      </c>
      <c r="K349" s="7">
        <f>(F349-J349)*E349</f>
        <v/>
      </c>
      <c r="L349" s="6">
        <f>IF(COUNTIF($B:$B,B349)&gt;1,"כפולה","")</f>
        <v/>
      </c>
    </row>
    <row r="350">
      <c r="A350" s="5" t="n">
        <v>46186</v>
      </c>
      <c r="B350" s="6" t="n">
        <v>50346</v>
      </c>
      <c r="C350" s="6" t="inlineStr">
        <is>
          <t>C101</t>
        </is>
      </c>
      <c r="D350" s="6" t="inlineStr">
        <is>
          <t>P01</t>
        </is>
      </c>
      <c r="E350" s="6" t="n">
        <v>18</v>
      </c>
      <c r="F350" s="7" t="n">
        <v>85</v>
      </c>
      <c r="G350" s="6">
        <f>IFERROR(INDEX('לקוחות'!$B:$B,MATCH(C350,'לקוחות'!$A:$A,0)),"לא נמצא")</f>
        <v/>
      </c>
      <c r="H350" s="7">
        <f>E350*F350</f>
        <v/>
      </c>
      <c r="I350" s="6">
        <f>MONTH(A350)</f>
        <v/>
      </c>
      <c r="J350" s="7">
        <f>INDEX('מוצרים'!$D:$D,MATCH(D350,'מוצרים'!$A:$A,0))</f>
        <v/>
      </c>
      <c r="K350" s="7">
        <f>(F350-J350)*E350</f>
        <v/>
      </c>
      <c r="L350" s="6">
        <f>IF(COUNTIF($B:$B,B350)&gt;1,"כפולה","")</f>
        <v/>
      </c>
    </row>
    <row r="351">
      <c r="A351" s="5" t="n">
        <v>46186</v>
      </c>
      <c r="B351" s="6" t="n">
        <v>50347</v>
      </c>
      <c r="C351" s="6" t="inlineStr">
        <is>
          <t>C108</t>
        </is>
      </c>
      <c r="D351" s="6" t="inlineStr">
        <is>
          <t>P04</t>
        </is>
      </c>
      <c r="E351" s="6" t="n">
        <v>21</v>
      </c>
      <c r="F351" s="7" t="n">
        <v>32</v>
      </c>
      <c r="G351" s="6">
        <f>IFERROR(INDEX('לקוחות'!$B:$B,MATCH(C351,'לקוחות'!$A:$A,0)),"לא נמצא")</f>
        <v/>
      </c>
      <c r="H351" s="7">
        <f>E351*F351</f>
        <v/>
      </c>
      <c r="I351" s="6">
        <f>MONTH(A351)</f>
        <v/>
      </c>
      <c r="J351" s="7">
        <f>INDEX('מוצרים'!$D:$D,MATCH(D351,'מוצרים'!$A:$A,0))</f>
        <v/>
      </c>
      <c r="K351" s="7">
        <f>(F351-J351)*E351</f>
        <v/>
      </c>
      <c r="L351" s="6">
        <f>IF(COUNTIF($B:$B,B351)&gt;1,"כפולה","")</f>
        <v/>
      </c>
    </row>
    <row r="352">
      <c r="A352" s="5" t="n">
        <v>46186</v>
      </c>
      <c r="B352" s="6" t="n">
        <v>50348</v>
      </c>
      <c r="C352" s="6" t="inlineStr">
        <is>
          <t>C106</t>
        </is>
      </c>
      <c r="D352" s="6" t="inlineStr">
        <is>
          <t>P05</t>
        </is>
      </c>
      <c r="E352" s="6" t="n">
        <v>8</v>
      </c>
      <c r="F352" s="7" t="n">
        <v>150</v>
      </c>
      <c r="G352" s="6">
        <f>IFERROR(INDEX('לקוחות'!$B:$B,MATCH(C352,'לקוחות'!$A:$A,0)),"לא נמצא")</f>
        <v/>
      </c>
      <c r="H352" s="7">
        <f>E352*F352</f>
        <v/>
      </c>
      <c r="I352" s="6">
        <f>MONTH(A352)</f>
        <v/>
      </c>
      <c r="J352" s="7">
        <f>INDEX('מוצרים'!$D:$D,MATCH(D352,'מוצרים'!$A:$A,0))</f>
        <v/>
      </c>
      <c r="K352" s="7">
        <f>(F352-J352)*E352</f>
        <v/>
      </c>
      <c r="L352" s="6">
        <f>IF(COUNTIF($B:$B,B352)&gt;1,"כפולה","")</f>
        <v/>
      </c>
    </row>
    <row r="353">
      <c r="A353" s="5" t="n">
        <v>46186</v>
      </c>
      <c r="B353" s="6" t="n">
        <v>50349</v>
      </c>
      <c r="C353" s="6" t="inlineStr">
        <is>
          <t>C109</t>
        </is>
      </c>
      <c r="D353" s="6" t="inlineStr">
        <is>
          <t>P08</t>
        </is>
      </c>
      <c r="E353" s="6" t="n">
        <v>5</v>
      </c>
      <c r="F353" s="7" t="n">
        <v>199</v>
      </c>
      <c r="G353" s="6">
        <f>IFERROR(INDEX('לקוחות'!$B:$B,MATCH(C353,'לקוחות'!$A:$A,0)),"לא נמצא")</f>
        <v/>
      </c>
      <c r="H353" s="7">
        <f>E353*F353</f>
        <v/>
      </c>
      <c r="I353" s="6">
        <f>MONTH(A353)</f>
        <v/>
      </c>
      <c r="J353" s="7">
        <f>INDEX('מוצרים'!$D:$D,MATCH(D353,'מוצרים'!$A:$A,0))</f>
        <v/>
      </c>
      <c r="K353" s="7">
        <f>(F353-J353)*E353</f>
        <v/>
      </c>
      <c r="L353" s="6">
        <f>IF(COUNTIF($B:$B,B353)&gt;1,"כפולה","")</f>
        <v/>
      </c>
    </row>
    <row r="354">
      <c r="A354" s="5" t="n">
        <v>46187</v>
      </c>
      <c r="B354" s="6" t="n">
        <v>50350</v>
      </c>
      <c r="C354" s="6" t="inlineStr">
        <is>
          <t>C105</t>
        </is>
      </c>
      <c r="D354" s="6" t="inlineStr">
        <is>
          <t>P02</t>
        </is>
      </c>
      <c r="E354" s="6" t="n">
        <v>19</v>
      </c>
      <c r="F354" s="7" t="n">
        <v>110</v>
      </c>
      <c r="G354" s="6">
        <f>IFERROR(INDEX('לקוחות'!$B:$B,MATCH(C354,'לקוחות'!$A:$A,0)),"לא נמצא")</f>
        <v/>
      </c>
      <c r="H354" s="7">
        <f>E354*F354</f>
        <v/>
      </c>
      <c r="I354" s="6">
        <f>MONTH(A354)</f>
        <v/>
      </c>
      <c r="J354" s="7">
        <f>INDEX('מוצרים'!$D:$D,MATCH(D354,'מוצרים'!$A:$A,0))</f>
        <v/>
      </c>
      <c r="K354" s="7">
        <f>(F354-J354)*E354</f>
        <v/>
      </c>
      <c r="L354" s="6">
        <f>IF(COUNTIF($B:$B,B354)&gt;1,"כפולה","")</f>
        <v/>
      </c>
    </row>
    <row r="355">
      <c r="A355" s="5" t="n">
        <v>46187</v>
      </c>
      <c r="B355" s="6" t="n">
        <v>50351</v>
      </c>
      <c r="C355" s="6" t="inlineStr">
        <is>
          <t>C109</t>
        </is>
      </c>
      <c r="D355" s="6" t="inlineStr">
        <is>
          <t>P05</t>
        </is>
      </c>
      <c r="E355" s="6" t="n">
        <v>14</v>
      </c>
      <c r="F355" s="7" t="n">
        <v>150</v>
      </c>
      <c r="G355" s="6">
        <f>IFERROR(INDEX('לקוחות'!$B:$B,MATCH(C355,'לקוחות'!$A:$A,0)),"לא נמצא")</f>
        <v/>
      </c>
      <c r="H355" s="7">
        <f>E355*F355</f>
        <v/>
      </c>
      <c r="I355" s="6">
        <f>MONTH(A355)</f>
        <v/>
      </c>
      <c r="J355" s="7">
        <f>INDEX('מוצרים'!$D:$D,MATCH(D355,'מוצרים'!$A:$A,0))</f>
        <v/>
      </c>
      <c r="K355" s="7">
        <f>(F355-J355)*E355</f>
        <v/>
      </c>
      <c r="L355" s="6">
        <f>IF(COUNTIF($B:$B,B355)&gt;1,"כפולה","")</f>
        <v/>
      </c>
    </row>
    <row r="356">
      <c r="A356" s="5" t="n">
        <v>46188</v>
      </c>
      <c r="B356" s="6" t="n">
        <v>50352</v>
      </c>
      <c r="C356" s="6" t="inlineStr">
        <is>
          <t>C104</t>
        </is>
      </c>
      <c r="D356" s="6" t="inlineStr">
        <is>
          <t>P08</t>
        </is>
      </c>
      <c r="E356" s="6" t="n">
        <v>21</v>
      </c>
      <c r="F356" s="7" t="n">
        <v>199</v>
      </c>
      <c r="G356" s="6">
        <f>IFERROR(INDEX('לקוחות'!$B:$B,MATCH(C356,'לקוחות'!$A:$A,0)),"לא נמצא")</f>
        <v/>
      </c>
      <c r="H356" s="7">
        <f>E356*F356</f>
        <v/>
      </c>
      <c r="I356" s="6">
        <f>MONTH(A356)</f>
        <v/>
      </c>
      <c r="J356" s="7">
        <f>INDEX('מוצרים'!$D:$D,MATCH(D356,'מוצרים'!$A:$A,0))</f>
        <v/>
      </c>
      <c r="K356" s="7">
        <f>(F356-J356)*E356</f>
        <v/>
      </c>
      <c r="L356" s="6">
        <f>IF(COUNTIF($B:$B,B356)&gt;1,"כפולה","")</f>
        <v/>
      </c>
    </row>
    <row r="357">
      <c r="A357" s="5" t="n">
        <v>46188</v>
      </c>
      <c r="B357" s="6" t="n">
        <v>50353</v>
      </c>
      <c r="C357" s="6" t="inlineStr">
        <is>
          <t>C100</t>
        </is>
      </c>
      <c r="D357" s="6" t="inlineStr">
        <is>
          <t>P05</t>
        </is>
      </c>
      <c r="E357" s="6" t="n">
        <v>29</v>
      </c>
      <c r="F357" s="7" t="n">
        <v>135</v>
      </c>
      <c r="G357" s="6">
        <f>IFERROR(INDEX('לקוחות'!$B:$B,MATCH(C357,'לקוחות'!$A:$A,0)),"לא נמצא")</f>
        <v/>
      </c>
      <c r="H357" s="7">
        <f>E357*F357</f>
        <v/>
      </c>
      <c r="I357" s="6">
        <f>MONTH(A357)</f>
        <v/>
      </c>
      <c r="J357" s="7">
        <f>INDEX('מוצרים'!$D:$D,MATCH(D357,'מוצרים'!$A:$A,0))</f>
        <v/>
      </c>
      <c r="K357" s="7">
        <f>(F357-J357)*E357</f>
        <v/>
      </c>
      <c r="L357" s="6">
        <f>IF(COUNTIF($B:$B,B357)&gt;1,"כפולה","")</f>
        <v/>
      </c>
    </row>
    <row r="358">
      <c r="A358" s="5" t="n">
        <v>46188</v>
      </c>
      <c r="B358" s="6" t="n">
        <v>50354</v>
      </c>
      <c r="C358" s="6" t="inlineStr">
        <is>
          <t>C105</t>
        </is>
      </c>
      <c r="D358" s="6" t="inlineStr">
        <is>
          <t>P01</t>
        </is>
      </c>
      <c r="E358" s="6" t="n">
        <v>26</v>
      </c>
      <c r="F358" s="7" t="n">
        <v>85</v>
      </c>
      <c r="G358" s="6">
        <f>IFERROR(INDEX('לקוחות'!$B:$B,MATCH(C358,'לקוחות'!$A:$A,0)),"לא נמצא")</f>
        <v/>
      </c>
      <c r="H358" s="7">
        <f>E358*F358</f>
        <v/>
      </c>
      <c r="I358" s="6">
        <f>MONTH(A358)</f>
        <v/>
      </c>
      <c r="J358" s="7">
        <f>INDEX('מוצרים'!$D:$D,MATCH(D358,'מוצרים'!$A:$A,0))</f>
        <v/>
      </c>
      <c r="K358" s="7">
        <f>(F358-J358)*E358</f>
        <v/>
      </c>
      <c r="L358" s="6">
        <f>IF(COUNTIF($B:$B,B358)&gt;1,"כפולה","")</f>
        <v/>
      </c>
    </row>
    <row r="359">
      <c r="A359" s="5" t="n">
        <v>46188</v>
      </c>
      <c r="B359" s="6" t="n">
        <v>50355</v>
      </c>
      <c r="C359" s="6" t="inlineStr">
        <is>
          <t>C105</t>
        </is>
      </c>
      <c r="D359" s="6" t="inlineStr">
        <is>
          <t>P06</t>
        </is>
      </c>
      <c r="E359" s="6" t="n">
        <v>25</v>
      </c>
      <c r="F359" s="7" t="n">
        <v>70</v>
      </c>
      <c r="G359" s="6">
        <f>IFERROR(INDEX('לקוחות'!$B:$B,MATCH(C359,'לקוחות'!$A:$A,0)),"לא נמצא")</f>
        <v/>
      </c>
      <c r="H359" s="7">
        <f>E359*F359</f>
        <v/>
      </c>
      <c r="I359" s="6">
        <f>MONTH(A359)</f>
        <v/>
      </c>
      <c r="J359" s="7">
        <f>INDEX('מוצרים'!$D:$D,MATCH(D359,'מוצרים'!$A:$A,0))</f>
        <v/>
      </c>
      <c r="K359" s="7">
        <f>(F359-J359)*E359</f>
        <v/>
      </c>
      <c r="L359" s="6">
        <f>IF(COUNTIF($B:$B,B359)&gt;1,"כפולה","")</f>
        <v/>
      </c>
    </row>
    <row r="360">
      <c r="A360" s="5" t="n">
        <v>46189</v>
      </c>
      <c r="B360" s="6" t="n">
        <v>50356</v>
      </c>
      <c r="C360" s="6" t="inlineStr">
        <is>
          <t>C105</t>
        </is>
      </c>
      <c r="D360" s="6" t="inlineStr">
        <is>
          <t>P08</t>
        </is>
      </c>
      <c r="E360" s="6" t="n">
        <v>34</v>
      </c>
      <c r="F360" s="7" t="n">
        <v>199</v>
      </c>
      <c r="G360" s="6">
        <f>IFERROR(INDEX('לקוחות'!$B:$B,MATCH(C360,'לקוחות'!$A:$A,0)),"לא נמצא")</f>
        <v/>
      </c>
      <c r="H360" s="7">
        <f>E360*F360</f>
        <v/>
      </c>
      <c r="I360" s="6">
        <f>MONTH(A360)</f>
        <v/>
      </c>
      <c r="J360" s="7">
        <f>INDEX('מוצרים'!$D:$D,MATCH(D360,'מוצרים'!$A:$A,0))</f>
        <v/>
      </c>
      <c r="K360" s="7">
        <f>(F360-J360)*E360</f>
        <v/>
      </c>
      <c r="L360" s="6">
        <f>IF(COUNTIF($B:$B,B360)&gt;1,"כפולה","")</f>
        <v/>
      </c>
    </row>
    <row r="361">
      <c r="A361" s="5" t="n">
        <v>46190</v>
      </c>
      <c r="B361" s="6" t="n">
        <v>50357</v>
      </c>
      <c r="C361" s="6" t="inlineStr">
        <is>
          <t>C108</t>
        </is>
      </c>
      <c r="D361" s="6" t="inlineStr">
        <is>
          <t>P01</t>
        </is>
      </c>
      <c r="E361" s="6" t="n">
        <v>36</v>
      </c>
      <c r="F361" s="7" t="n">
        <v>85</v>
      </c>
      <c r="G361" s="6">
        <f>IFERROR(INDEX('לקוחות'!$B:$B,MATCH(C361,'לקוחות'!$A:$A,0)),"לא נמצא")</f>
        <v/>
      </c>
      <c r="H361" s="7">
        <f>E361*F361</f>
        <v/>
      </c>
      <c r="I361" s="6">
        <f>MONTH(A361)</f>
        <v/>
      </c>
      <c r="J361" s="7">
        <f>INDEX('מוצרים'!$D:$D,MATCH(D361,'מוצרים'!$A:$A,0))</f>
        <v/>
      </c>
      <c r="K361" s="7">
        <f>(F361-J361)*E361</f>
        <v/>
      </c>
      <c r="L361" s="6">
        <f>IF(COUNTIF($B:$B,B361)&gt;1,"כפולה","")</f>
        <v/>
      </c>
    </row>
    <row r="362">
      <c r="A362" s="5" t="n">
        <v>46190</v>
      </c>
      <c r="B362" s="6" t="n">
        <v>50358</v>
      </c>
      <c r="C362" s="6" t="inlineStr">
        <is>
          <t>C100</t>
        </is>
      </c>
      <c r="D362" s="6" t="inlineStr">
        <is>
          <t>P02</t>
        </is>
      </c>
      <c r="E362" s="6" t="n">
        <v>28</v>
      </c>
      <c r="F362" s="7" t="n">
        <v>110</v>
      </c>
      <c r="G362" s="6">
        <f>IFERROR(INDEX('לקוחות'!$B:$B,MATCH(C362,'לקוחות'!$A:$A,0)),"לא נמצא")</f>
        <v/>
      </c>
      <c r="H362" s="7">
        <f>E362*F362</f>
        <v/>
      </c>
      <c r="I362" s="6">
        <f>MONTH(A362)</f>
        <v/>
      </c>
      <c r="J362" s="7">
        <f>INDEX('מוצרים'!$D:$D,MATCH(D362,'מוצרים'!$A:$A,0))</f>
        <v/>
      </c>
      <c r="K362" s="7">
        <f>(F362-J362)*E362</f>
        <v/>
      </c>
      <c r="L362" s="6">
        <f>IF(COUNTIF($B:$B,B362)&gt;1,"כפולה","")</f>
        <v/>
      </c>
    </row>
    <row r="363">
      <c r="A363" s="5" t="n">
        <v>46190</v>
      </c>
      <c r="B363" s="6" t="n">
        <v>50359</v>
      </c>
      <c r="C363" s="6" t="inlineStr">
        <is>
          <t>C101</t>
        </is>
      </c>
      <c r="D363" s="6" t="inlineStr">
        <is>
          <t>P03</t>
        </is>
      </c>
      <c r="E363" s="6" t="n">
        <v>32</v>
      </c>
      <c r="F363" s="7" t="n">
        <v>13</v>
      </c>
      <c r="G363" s="6">
        <f>IFERROR(INDEX('לקוחות'!$B:$B,MATCH(C363,'לקוחות'!$A:$A,0)),"לא נמצא")</f>
        <v/>
      </c>
      <c r="H363" s="7">
        <f>E363*F363</f>
        <v/>
      </c>
      <c r="I363" s="6">
        <f>MONTH(A363)</f>
        <v/>
      </c>
      <c r="J363" s="7">
        <f>INDEX('מוצרים'!$D:$D,MATCH(D363,'מוצרים'!$A:$A,0))</f>
        <v/>
      </c>
      <c r="K363" s="7">
        <f>(F363-J363)*E363</f>
        <v/>
      </c>
      <c r="L363" s="6">
        <f>IF(COUNTIF($B:$B,B363)&gt;1,"כפולה","")</f>
        <v/>
      </c>
    </row>
    <row r="364">
      <c r="A364" s="5" t="n">
        <v>46191</v>
      </c>
      <c r="B364" s="6" t="n">
        <v>50360</v>
      </c>
      <c r="C364" s="6" t="inlineStr">
        <is>
          <t>C106</t>
        </is>
      </c>
      <c r="D364" s="6" t="inlineStr">
        <is>
          <t>P06</t>
        </is>
      </c>
      <c r="E364" s="6" t="n">
        <v>28</v>
      </c>
      <c r="F364" s="7" t="n">
        <v>70</v>
      </c>
      <c r="G364" s="6">
        <f>IFERROR(INDEX('לקוחות'!$B:$B,MATCH(C364,'לקוחות'!$A:$A,0)),"לא נמצא")</f>
        <v/>
      </c>
      <c r="H364" s="7">
        <f>E364*F364</f>
        <v/>
      </c>
      <c r="I364" s="6">
        <f>MONTH(A364)</f>
        <v/>
      </c>
      <c r="J364" s="7">
        <f>INDEX('מוצרים'!$D:$D,MATCH(D364,'מוצרים'!$A:$A,0))</f>
        <v/>
      </c>
      <c r="K364" s="7">
        <f>(F364-J364)*E364</f>
        <v/>
      </c>
      <c r="L364" s="6">
        <f>IF(COUNTIF($B:$B,B364)&gt;1,"כפולה","")</f>
        <v/>
      </c>
    </row>
    <row r="365">
      <c r="A365" s="5" t="n">
        <v>46191</v>
      </c>
      <c r="B365" s="6" t="n">
        <v>50361</v>
      </c>
      <c r="C365" s="6" t="inlineStr">
        <is>
          <t>C106</t>
        </is>
      </c>
      <c r="D365" s="6" t="inlineStr">
        <is>
          <t>P05</t>
        </is>
      </c>
      <c r="E365" s="6" t="n">
        <v>1</v>
      </c>
      <c r="F365" s="7" t="n">
        <v>150</v>
      </c>
      <c r="G365" s="6">
        <f>IFERROR(INDEX('לקוחות'!$B:$B,MATCH(C365,'לקוחות'!$A:$A,0)),"לא נמצא")</f>
        <v/>
      </c>
      <c r="H365" s="7">
        <f>E365*F365</f>
        <v/>
      </c>
      <c r="I365" s="6">
        <f>MONTH(A365)</f>
        <v/>
      </c>
      <c r="J365" s="7">
        <f>INDEX('מוצרים'!$D:$D,MATCH(D365,'מוצרים'!$A:$A,0))</f>
        <v/>
      </c>
      <c r="K365" s="7">
        <f>(F365-J365)*E365</f>
        <v/>
      </c>
      <c r="L365" s="6">
        <f>IF(COUNTIF($B:$B,B365)&gt;1,"כפולה","")</f>
        <v/>
      </c>
    </row>
    <row r="366">
      <c r="A366" s="5" t="n">
        <v>46191</v>
      </c>
      <c r="B366" s="6" t="n">
        <v>50362</v>
      </c>
      <c r="C366" s="6" t="inlineStr">
        <is>
          <t>C108</t>
        </is>
      </c>
      <c r="D366" s="6" t="inlineStr">
        <is>
          <t>P05</t>
        </is>
      </c>
      <c r="E366" s="6" t="n">
        <v>30</v>
      </c>
      <c r="F366" s="7" t="n">
        <v>150</v>
      </c>
      <c r="G366" s="6">
        <f>IFERROR(INDEX('לקוחות'!$B:$B,MATCH(C366,'לקוחות'!$A:$A,0)),"לא נמצא")</f>
        <v/>
      </c>
      <c r="H366" s="7">
        <f>E366*F366</f>
        <v/>
      </c>
      <c r="I366" s="6">
        <f>MONTH(A366)</f>
        <v/>
      </c>
      <c r="J366" s="7">
        <f>INDEX('מוצרים'!$D:$D,MATCH(D366,'מוצרים'!$A:$A,0))</f>
        <v/>
      </c>
      <c r="K366" s="7">
        <f>(F366-J366)*E366</f>
        <v/>
      </c>
      <c r="L366" s="6">
        <f>IF(COUNTIF($B:$B,B366)&gt;1,"כפולה","")</f>
        <v/>
      </c>
    </row>
    <row r="367">
      <c r="A367" s="5" t="n">
        <v>46191</v>
      </c>
      <c r="B367" s="6" t="n">
        <v>50363</v>
      </c>
      <c r="C367" s="6" t="inlineStr">
        <is>
          <t>C109</t>
        </is>
      </c>
      <c r="D367" s="6" t="inlineStr">
        <is>
          <t>P03</t>
        </is>
      </c>
      <c r="E367" s="6" t="n">
        <v>22</v>
      </c>
      <c r="F367" s="7" t="n">
        <v>13</v>
      </c>
      <c r="G367" s="6">
        <f>IFERROR(INDEX('לקוחות'!$B:$B,MATCH(C367,'לקוחות'!$A:$A,0)),"לא נמצא")</f>
        <v/>
      </c>
      <c r="H367" s="7">
        <f>E367*F367</f>
        <v/>
      </c>
      <c r="I367" s="6">
        <f>MONTH(A367)</f>
        <v/>
      </c>
      <c r="J367" s="7">
        <f>INDEX('מוצרים'!$D:$D,MATCH(D367,'מוצרים'!$A:$A,0))</f>
        <v/>
      </c>
      <c r="K367" s="7">
        <f>(F367-J367)*E367</f>
        <v/>
      </c>
      <c r="L367" s="6">
        <f>IF(COUNTIF($B:$B,B367)&gt;1,"כפולה","")</f>
        <v/>
      </c>
    </row>
    <row r="368">
      <c r="A368" s="5" t="n">
        <v>46192</v>
      </c>
      <c r="B368" s="6" t="n">
        <v>50364</v>
      </c>
      <c r="C368" s="6" t="inlineStr">
        <is>
          <t>C101</t>
        </is>
      </c>
      <c r="D368" s="6" t="inlineStr">
        <is>
          <t>P03</t>
        </is>
      </c>
      <c r="E368" s="6" t="n">
        <v>17</v>
      </c>
      <c r="F368" s="7" t="n">
        <v>13</v>
      </c>
      <c r="G368" s="6">
        <f>IFERROR(INDEX('לקוחות'!$B:$B,MATCH(C368,'לקוחות'!$A:$A,0)),"לא נמצא")</f>
        <v/>
      </c>
      <c r="H368" s="7">
        <f>E368*F368</f>
        <v/>
      </c>
      <c r="I368" s="6">
        <f>MONTH(A368)</f>
        <v/>
      </c>
      <c r="J368" s="7">
        <f>INDEX('מוצרים'!$D:$D,MATCH(D368,'מוצרים'!$A:$A,0))</f>
        <v/>
      </c>
      <c r="K368" s="7">
        <f>(F368-J368)*E368</f>
        <v/>
      </c>
      <c r="L368" s="6">
        <f>IF(COUNTIF($B:$B,B368)&gt;1,"כפולה","")</f>
        <v/>
      </c>
    </row>
    <row r="369">
      <c r="A369" s="5" t="n">
        <v>46192</v>
      </c>
      <c r="B369" s="6" t="n">
        <v>50365</v>
      </c>
      <c r="C369" s="6" t="inlineStr">
        <is>
          <t>C100</t>
        </is>
      </c>
      <c r="D369" s="6" t="inlineStr">
        <is>
          <t>P02</t>
        </is>
      </c>
      <c r="E369" s="6" t="n">
        <v>28</v>
      </c>
      <c r="F369" s="7" t="n">
        <v>110</v>
      </c>
      <c r="G369" s="6">
        <f>IFERROR(INDEX('לקוחות'!$B:$B,MATCH(C369,'לקוחות'!$A:$A,0)),"לא נמצא")</f>
        <v/>
      </c>
      <c r="H369" s="7">
        <f>E369*F369</f>
        <v/>
      </c>
      <c r="I369" s="6">
        <f>MONTH(A369)</f>
        <v/>
      </c>
      <c r="J369" s="7">
        <f>INDEX('מוצרים'!$D:$D,MATCH(D369,'מוצרים'!$A:$A,0))</f>
        <v/>
      </c>
      <c r="K369" s="7">
        <f>(F369-J369)*E369</f>
        <v/>
      </c>
      <c r="L369" s="6">
        <f>IF(COUNTIF($B:$B,B369)&gt;1,"כפולה","")</f>
        <v/>
      </c>
    </row>
    <row r="370">
      <c r="A370" s="5" t="n">
        <v>46192</v>
      </c>
      <c r="B370" s="6" t="n">
        <v>50366</v>
      </c>
      <c r="C370" s="6" t="inlineStr">
        <is>
          <t>C105</t>
        </is>
      </c>
      <c r="D370" s="6" t="inlineStr">
        <is>
          <t>P02</t>
        </is>
      </c>
      <c r="E370" s="6" t="n">
        <v>33</v>
      </c>
      <c r="F370" s="7" t="n">
        <v>110</v>
      </c>
      <c r="G370" s="6">
        <f>IFERROR(INDEX('לקוחות'!$B:$B,MATCH(C370,'לקוחות'!$A:$A,0)),"לא נמצא")</f>
        <v/>
      </c>
      <c r="H370" s="7">
        <f>E370*F370</f>
        <v/>
      </c>
      <c r="I370" s="6">
        <f>MONTH(A370)</f>
        <v/>
      </c>
      <c r="J370" s="7">
        <f>INDEX('מוצרים'!$D:$D,MATCH(D370,'מוצרים'!$A:$A,0))</f>
        <v/>
      </c>
      <c r="K370" s="7">
        <f>(F370-J370)*E370</f>
        <v/>
      </c>
      <c r="L370" s="6">
        <f>IF(COUNTIF($B:$B,B370)&gt;1,"כפולה","")</f>
        <v/>
      </c>
    </row>
    <row r="371">
      <c r="A371" s="5" t="n">
        <v>46192</v>
      </c>
      <c r="B371" s="6" t="n">
        <v>50367</v>
      </c>
      <c r="C371" s="6" t="inlineStr">
        <is>
          <t>C102</t>
        </is>
      </c>
      <c r="D371" s="6" t="inlineStr">
        <is>
          <t>P06</t>
        </is>
      </c>
      <c r="E371" s="6" t="n">
        <v>20</v>
      </c>
      <c r="F371" s="7" t="n">
        <v>70</v>
      </c>
      <c r="G371" s="6">
        <f>IFERROR(INDEX('לקוחות'!$B:$B,MATCH(C371,'לקוחות'!$A:$A,0)),"לא נמצא")</f>
        <v/>
      </c>
      <c r="H371" s="7">
        <f>E371*F371</f>
        <v/>
      </c>
      <c r="I371" s="6">
        <f>MONTH(A371)</f>
        <v/>
      </c>
      <c r="J371" s="7">
        <f>INDEX('מוצרים'!$D:$D,MATCH(D371,'מוצרים'!$A:$A,0))</f>
        <v/>
      </c>
      <c r="K371" s="7">
        <f>(F371-J371)*E371</f>
        <v/>
      </c>
      <c r="L371" s="6">
        <f>IF(COUNTIF($B:$B,B371)&gt;1,"כפולה","")</f>
        <v/>
      </c>
    </row>
    <row r="372">
      <c r="A372" s="5" t="n">
        <v>46193</v>
      </c>
      <c r="B372" s="6" t="n">
        <v>50368</v>
      </c>
      <c r="C372" s="6" t="inlineStr">
        <is>
          <t>C105</t>
        </is>
      </c>
      <c r="D372" s="6" t="inlineStr">
        <is>
          <t>P06</t>
        </is>
      </c>
      <c r="E372" s="6" t="n">
        <v>8</v>
      </c>
      <c r="F372" s="7" t="n">
        <v>70</v>
      </c>
      <c r="G372" s="6">
        <f>IFERROR(INDEX('לקוחות'!$B:$B,MATCH(C372,'לקוחות'!$A:$A,0)),"לא נמצא")</f>
        <v/>
      </c>
      <c r="H372" s="7">
        <f>E372*F372</f>
        <v/>
      </c>
      <c r="I372" s="6">
        <f>MONTH(A372)</f>
        <v/>
      </c>
      <c r="J372" s="7">
        <f>INDEX('מוצרים'!$D:$D,MATCH(D372,'מוצרים'!$A:$A,0))</f>
        <v/>
      </c>
      <c r="K372" s="7">
        <f>(F372-J372)*E372</f>
        <v/>
      </c>
      <c r="L372" s="6">
        <f>IF(COUNTIF($B:$B,B372)&gt;1,"כפולה","")</f>
        <v/>
      </c>
    </row>
    <row r="373">
      <c r="A373" s="5" t="n">
        <v>46193</v>
      </c>
      <c r="B373" s="6" t="n">
        <v>50369</v>
      </c>
      <c r="C373" s="6" t="inlineStr">
        <is>
          <t>C100</t>
        </is>
      </c>
      <c r="D373" s="6" t="inlineStr">
        <is>
          <t>P08</t>
        </is>
      </c>
      <c r="E373" s="6" t="n">
        <v>19</v>
      </c>
      <c r="F373" s="7" t="n">
        <v>199</v>
      </c>
      <c r="G373" s="6">
        <f>IFERROR(INDEX('לקוחות'!$B:$B,MATCH(C373,'לקוחות'!$A:$A,0)),"לא נמצא")</f>
        <v/>
      </c>
      <c r="H373" s="7">
        <f>E373*F373</f>
        <v/>
      </c>
      <c r="I373" s="6">
        <f>MONTH(A373)</f>
        <v/>
      </c>
      <c r="J373" s="7">
        <f>INDEX('מוצרים'!$D:$D,MATCH(D373,'מוצרים'!$A:$A,0))</f>
        <v/>
      </c>
      <c r="K373" s="7">
        <f>(F373-J373)*E373</f>
        <v/>
      </c>
      <c r="L373" s="6">
        <f>IF(COUNTIF($B:$B,B373)&gt;1,"כפולה","")</f>
        <v/>
      </c>
    </row>
    <row r="374">
      <c r="A374" s="5" t="n">
        <v>46193</v>
      </c>
      <c r="B374" s="6" t="n">
        <v>50370</v>
      </c>
      <c r="C374" s="6" t="inlineStr">
        <is>
          <t>C106</t>
        </is>
      </c>
      <c r="D374" s="6" t="inlineStr">
        <is>
          <t>P01</t>
        </is>
      </c>
      <c r="E374" s="6" t="n">
        <v>19</v>
      </c>
      <c r="F374" s="7" t="n">
        <v>85</v>
      </c>
      <c r="G374" s="6">
        <f>IFERROR(INDEX('לקוחות'!$B:$B,MATCH(C374,'לקוחות'!$A:$A,0)),"לא נמצא")</f>
        <v/>
      </c>
      <c r="H374" s="7">
        <f>E374*F374</f>
        <v/>
      </c>
      <c r="I374" s="6">
        <f>MONTH(A374)</f>
        <v/>
      </c>
      <c r="J374" s="7">
        <f>INDEX('מוצרים'!$D:$D,MATCH(D374,'מוצרים'!$A:$A,0))</f>
        <v/>
      </c>
      <c r="K374" s="7">
        <f>(F374-J374)*E374</f>
        <v/>
      </c>
      <c r="L374" s="6">
        <f>IF(COUNTIF($B:$B,B374)&gt;1,"כפולה","")</f>
        <v/>
      </c>
    </row>
    <row r="375">
      <c r="A375" s="5" t="n">
        <v>46194</v>
      </c>
      <c r="B375" s="6" t="n">
        <v>50371</v>
      </c>
      <c r="C375" s="6" t="inlineStr">
        <is>
          <t>C101</t>
        </is>
      </c>
      <c r="D375" s="6" t="inlineStr">
        <is>
          <t>P04</t>
        </is>
      </c>
      <c r="E375" s="6" t="n">
        <v>30</v>
      </c>
      <c r="F375" s="7" t="n">
        <v>32</v>
      </c>
      <c r="G375" s="6">
        <f>IFERROR(INDEX('לקוחות'!$B:$B,MATCH(C375,'לקוחות'!$A:$A,0)),"לא נמצא")</f>
        <v/>
      </c>
      <c r="H375" s="7">
        <f>E375*F375</f>
        <v/>
      </c>
      <c r="I375" s="6">
        <f>MONTH(A375)</f>
        <v/>
      </c>
      <c r="J375" s="7">
        <f>INDEX('מוצרים'!$D:$D,MATCH(D375,'מוצרים'!$A:$A,0))</f>
        <v/>
      </c>
      <c r="K375" s="7">
        <f>(F375-J375)*E375</f>
        <v/>
      </c>
      <c r="L375" s="6">
        <f>IF(COUNTIF($B:$B,B375)&gt;1,"כפולה","")</f>
        <v/>
      </c>
    </row>
    <row r="376">
      <c r="A376" s="5" t="n">
        <v>46194</v>
      </c>
      <c r="B376" s="6" t="n">
        <v>50372</v>
      </c>
      <c r="C376" s="6" t="inlineStr">
        <is>
          <t>C108</t>
        </is>
      </c>
      <c r="D376" s="6" t="inlineStr">
        <is>
          <t>P02</t>
        </is>
      </c>
      <c r="E376" s="6" t="n">
        <v>28</v>
      </c>
      <c r="F376" s="7" t="n">
        <v>110</v>
      </c>
      <c r="G376" s="6">
        <f>IFERROR(INDEX('לקוחות'!$B:$B,MATCH(C376,'לקוחות'!$A:$A,0)),"לא נמצא")</f>
        <v/>
      </c>
      <c r="H376" s="7">
        <f>E376*F376</f>
        <v/>
      </c>
      <c r="I376" s="6">
        <f>MONTH(A376)</f>
        <v/>
      </c>
      <c r="J376" s="7">
        <f>INDEX('מוצרים'!$D:$D,MATCH(D376,'מוצרים'!$A:$A,0))</f>
        <v/>
      </c>
      <c r="K376" s="7">
        <f>(F376-J376)*E376</f>
        <v/>
      </c>
      <c r="L376" s="6">
        <f>IF(COUNTIF($B:$B,B376)&gt;1,"כפולה","")</f>
        <v/>
      </c>
    </row>
    <row r="377">
      <c r="A377" s="5" t="n">
        <v>46195</v>
      </c>
      <c r="B377" s="6" t="n">
        <v>50373</v>
      </c>
      <c r="C377" s="6" t="inlineStr">
        <is>
          <t>C103</t>
        </is>
      </c>
      <c r="D377" s="6" t="inlineStr">
        <is>
          <t>P08</t>
        </is>
      </c>
      <c r="E377" s="6" t="n">
        <v>11</v>
      </c>
      <c r="F377" s="7" t="n">
        <v>199</v>
      </c>
      <c r="G377" s="6">
        <f>IFERROR(INDEX('לקוחות'!$B:$B,MATCH(C377,'לקוחות'!$A:$A,0)),"לא נמצא")</f>
        <v/>
      </c>
      <c r="H377" s="7">
        <f>E377*F377</f>
        <v/>
      </c>
      <c r="I377" s="6">
        <f>MONTH(A377)</f>
        <v/>
      </c>
      <c r="J377" s="7">
        <f>INDEX('מוצרים'!$D:$D,MATCH(D377,'מוצרים'!$A:$A,0))</f>
        <v/>
      </c>
      <c r="K377" s="7">
        <f>(F377-J377)*E377</f>
        <v/>
      </c>
      <c r="L377" s="6">
        <f>IF(COUNTIF($B:$B,B377)&gt;1,"כפולה","")</f>
        <v/>
      </c>
    </row>
    <row r="378">
      <c r="A378" s="5" t="n">
        <v>46195</v>
      </c>
      <c r="B378" s="6" t="n">
        <v>50374</v>
      </c>
      <c r="C378" s="6" t="inlineStr">
        <is>
          <t>C109</t>
        </is>
      </c>
      <c r="D378" s="6" t="inlineStr">
        <is>
          <t>P01</t>
        </is>
      </c>
      <c r="E378" s="6" t="n">
        <v>18</v>
      </c>
      <c r="F378" s="7" t="n">
        <v>85</v>
      </c>
      <c r="G378" s="6">
        <f>IFERROR(INDEX('לקוחות'!$B:$B,MATCH(C378,'לקוחות'!$A:$A,0)),"לא נמצא")</f>
        <v/>
      </c>
      <c r="H378" s="7">
        <f>E378*F378</f>
        <v/>
      </c>
      <c r="I378" s="6">
        <f>MONTH(A378)</f>
        <v/>
      </c>
      <c r="J378" s="7">
        <f>INDEX('מוצרים'!$D:$D,MATCH(D378,'מוצרים'!$A:$A,0))</f>
        <v/>
      </c>
      <c r="K378" s="7">
        <f>(F378-J378)*E378</f>
        <v/>
      </c>
      <c r="L378" s="6">
        <f>IF(COUNTIF($B:$B,B378)&gt;1,"כפולה","")</f>
        <v/>
      </c>
    </row>
    <row r="379">
      <c r="A379" s="5" t="n">
        <v>46195</v>
      </c>
      <c r="B379" s="6" t="n">
        <v>50375</v>
      </c>
      <c r="C379" s="6" t="inlineStr">
        <is>
          <t>C108</t>
        </is>
      </c>
      <c r="D379" s="6" t="inlineStr">
        <is>
          <t>P07</t>
        </is>
      </c>
      <c r="E379" s="6" t="n">
        <v>21</v>
      </c>
      <c r="F379" s="7" t="n">
        <v>95</v>
      </c>
      <c r="G379" s="6">
        <f>IFERROR(INDEX('לקוחות'!$B:$B,MATCH(C379,'לקוחות'!$A:$A,0)),"לא נמצא")</f>
        <v/>
      </c>
      <c r="H379" s="7">
        <f>E379*F379</f>
        <v/>
      </c>
      <c r="I379" s="6">
        <f>MONTH(A379)</f>
        <v/>
      </c>
      <c r="J379" s="7">
        <f>INDEX('מוצרים'!$D:$D,MATCH(D379,'מוצרים'!$A:$A,0))</f>
        <v/>
      </c>
      <c r="K379" s="7">
        <f>(F379-J379)*E379</f>
        <v/>
      </c>
      <c r="L379" s="6">
        <f>IF(COUNTIF($B:$B,B379)&gt;1,"כפולה","")</f>
        <v/>
      </c>
    </row>
    <row r="380">
      <c r="A380" s="5" t="n">
        <v>46195</v>
      </c>
      <c r="B380" s="6" t="n">
        <v>50376</v>
      </c>
      <c r="C380" s="6" t="inlineStr">
        <is>
          <t>C104</t>
        </is>
      </c>
      <c r="D380" s="6" t="inlineStr">
        <is>
          <t>P07</t>
        </is>
      </c>
      <c r="E380" s="6" t="n">
        <v>24</v>
      </c>
      <c r="F380" s="7" t="n">
        <v>95</v>
      </c>
      <c r="G380" s="6">
        <f>IFERROR(INDEX('לקוחות'!$B:$B,MATCH(C380,'לקוחות'!$A:$A,0)),"לא נמצא")</f>
        <v/>
      </c>
      <c r="H380" s="7">
        <f>E380*F380</f>
        <v/>
      </c>
      <c r="I380" s="6">
        <f>MONTH(A380)</f>
        <v/>
      </c>
      <c r="J380" s="7">
        <f>INDEX('מוצרים'!$D:$D,MATCH(D380,'מוצרים'!$A:$A,0))</f>
        <v/>
      </c>
      <c r="K380" s="7">
        <f>(F380-J380)*E380</f>
        <v/>
      </c>
      <c r="L380" s="6">
        <f>IF(COUNTIF($B:$B,B380)&gt;1,"כפולה","")</f>
        <v/>
      </c>
    </row>
    <row r="381">
      <c r="A381" s="5" t="n">
        <v>46196</v>
      </c>
      <c r="B381" s="6" t="n">
        <v>50377</v>
      </c>
      <c r="C381" s="6" t="inlineStr">
        <is>
          <t>C106</t>
        </is>
      </c>
      <c r="D381" s="6" t="inlineStr">
        <is>
          <t>P03</t>
        </is>
      </c>
      <c r="E381" s="6" t="n">
        <v>30</v>
      </c>
      <c r="F381" s="7" t="n">
        <v>13</v>
      </c>
      <c r="G381" s="6">
        <f>IFERROR(INDEX('לקוחות'!$B:$B,MATCH(C381,'לקוחות'!$A:$A,0)),"לא נמצא")</f>
        <v/>
      </c>
      <c r="H381" s="7">
        <f>E381*F381</f>
        <v/>
      </c>
      <c r="I381" s="6">
        <f>MONTH(A381)</f>
        <v/>
      </c>
      <c r="J381" s="7">
        <f>INDEX('מוצרים'!$D:$D,MATCH(D381,'מוצרים'!$A:$A,0))</f>
        <v/>
      </c>
      <c r="K381" s="7">
        <f>(F381-J381)*E381</f>
        <v/>
      </c>
      <c r="L381" s="6">
        <f>IF(COUNTIF($B:$B,B381)&gt;1,"כפולה","")</f>
        <v/>
      </c>
    </row>
    <row r="382">
      <c r="A382" s="5" t="n">
        <v>46196</v>
      </c>
      <c r="B382" s="6" t="n">
        <v>50378</v>
      </c>
      <c r="C382" s="6" t="inlineStr">
        <is>
          <t>C109</t>
        </is>
      </c>
      <c r="D382" s="6" t="inlineStr">
        <is>
          <t>P08</t>
        </is>
      </c>
      <c r="E382" s="6" t="n">
        <v>34</v>
      </c>
      <c r="F382" s="7" t="n">
        <v>199</v>
      </c>
      <c r="G382" s="6">
        <f>IFERROR(INDEX('לקוחות'!$B:$B,MATCH(C382,'לקוחות'!$A:$A,0)),"לא נמצא")</f>
        <v/>
      </c>
      <c r="H382" s="7">
        <f>E382*F382</f>
        <v/>
      </c>
      <c r="I382" s="6">
        <f>MONTH(A382)</f>
        <v/>
      </c>
      <c r="J382" s="7">
        <f>INDEX('מוצרים'!$D:$D,MATCH(D382,'מוצרים'!$A:$A,0))</f>
        <v/>
      </c>
      <c r="K382" s="7">
        <f>(F382-J382)*E382</f>
        <v/>
      </c>
      <c r="L382" s="6">
        <f>IF(COUNTIF($B:$B,B382)&gt;1,"כפולה","")</f>
        <v/>
      </c>
    </row>
    <row r="383">
      <c r="A383" s="5" t="n">
        <v>46196</v>
      </c>
      <c r="B383" s="6" t="n">
        <v>50379</v>
      </c>
      <c r="C383" s="6" t="inlineStr">
        <is>
          <t>C106</t>
        </is>
      </c>
      <c r="D383" s="6" t="inlineStr">
        <is>
          <t>P05</t>
        </is>
      </c>
      <c r="E383" s="6" t="n">
        <v>17</v>
      </c>
      <c r="F383" s="7" t="n">
        <v>150</v>
      </c>
      <c r="G383" s="6">
        <f>IFERROR(INDEX('לקוחות'!$B:$B,MATCH(C383,'לקוחות'!$A:$A,0)),"לא נמצא")</f>
        <v/>
      </c>
      <c r="H383" s="7">
        <f>E383*F383</f>
        <v/>
      </c>
      <c r="I383" s="6">
        <f>MONTH(A383)</f>
        <v/>
      </c>
      <c r="J383" s="7">
        <f>INDEX('מוצרים'!$D:$D,MATCH(D383,'מוצרים'!$A:$A,0))</f>
        <v/>
      </c>
      <c r="K383" s="7">
        <f>(F383-J383)*E383</f>
        <v/>
      </c>
      <c r="L383" s="6">
        <f>IF(COUNTIF($B:$B,B383)&gt;1,"כפולה","")</f>
        <v/>
      </c>
    </row>
    <row r="384">
      <c r="A384" s="5" t="n">
        <v>46196</v>
      </c>
      <c r="B384" s="6" t="n">
        <v>50380</v>
      </c>
      <c r="C384" s="6" t="inlineStr">
        <is>
          <t>C102</t>
        </is>
      </c>
      <c r="D384" s="6" t="inlineStr">
        <is>
          <t>P01</t>
        </is>
      </c>
      <c r="E384" s="6" t="n">
        <v>10</v>
      </c>
      <c r="F384" s="7" t="n">
        <v>85</v>
      </c>
      <c r="G384" s="6">
        <f>IFERROR(INDEX('לקוחות'!$B:$B,MATCH(C384,'לקוחות'!$A:$A,0)),"לא נמצא")</f>
        <v/>
      </c>
      <c r="H384" s="7">
        <f>E384*F384</f>
        <v/>
      </c>
      <c r="I384" s="6">
        <f>MONTH(A384)</f>
        <v/>
      </c>
      <c r="J384" s="7">
        <f>INDEX('מוצרים'!$D:$D,MATCH(D384,'מוצרים'!$A:$A,0))</f>
        <v/>
      </c>
      <c r="K384" s="7">
        <f>(F384-J384)*E384</f>
        <v/>
      </c>
      <c r="L384" s="6">
        <f>IF(COUNTIF($B:$B,B384)&gt;1,"כפולה","")</f>
        <v/>
      </c>
    </row>
    <row r="385">
      <c r="A385" s="5" t="n">
        <v>46196</v>
      </c>
      <c r="B385" s="6" t="n">
        <v>50381</v>
      </c>
      <c r="C385" s="6" t="inlineStr">
        <is>
          <t>C107</t>
        </is>
      </c>
      <c r="D385" s="6" t="inlineStr">
        <is>
          <t>P01</t>
        </is>
      </c>
      <c r="E385" s="6" t="n">
        <v>9</v>
      </c>
      <c r="F385" s="7" t="n">
        <v>76</v>
      </c>
      <c r="G385" s="6">
        <f>IFERROR(INDEX('לקוחות'!$B:$B,MATCH(C385,'לקוחות'!$A:$A,0)),"לא נמצא")</f>
        <v/>
      </c>
      <c r="H385" s="7">
        <f>E385*F385</f>
        <v/>
      </c>
      <c r="I385" s="6">
        <f>MONTH(A385)</f>
        <v/>
      </c>
      <c r="J385" s="7">
        <f>INDEX('מוצרים'!$D:$D,MATCH(D385,'מוצרים'!$A:$A,0))</f>
        <v/>
      </c>
      <c r="K385" s="7">
        <f>(F385-J385)*E385</f>
        <v/>
      </c>
      <c r="L385" s="6">
        <f>IF(COUNTIF($B:$B,B385)&gt;1,"כפולה","")</f>
        <v/>
      </c>
    </row>
    <row r="386">
      <c r="A386" s="5" t="n">
        <v>46197</v>
      </c>
      <c r="B386" s="6" t="n">
        <v>50382</v>
      </c>
      <c r="C386" s="6" t="inlineStr">
        <is>
          <t>C108</t>
        </is>
      </c>
      <c r="D386" s="6" t="inlineStr">
        <is>
          <t>P06</t>
        </is>
      </c>
      <c r="E386" s="6" t="n">
        <v>9</v>
      </c>
      <c r="F386" s="7" t="n">
        <v>70</v>
      </c>
      <c r="G386" s="6">
        <f>IFERROR(INDEX('לקוחות'!$B:$B,MATCH(C386,'לקוחות'!$A:$A,0)),"לא נמצא")</f>
        <v/>
      </c>
      <c r="H386" s="7">
        <f>E386*F386</f>
        <v/>
      </c>
      <c r="I386" s="6">
        <f>MONTH(A386)</f>
        <v/>
      </c>
      <c r="J386" s="7">
        <f>INDEX('מוצרים'!$D:$D,MATCH(D386,'מוצרים'!$A:$A,0))</f>
        <v/>
      </c>
      <c r="K386" s="7">
        <f>(F386-J386)*E386</f>
        <v/>
      </c>
      <c r="L386" s="6">
        <f>IF(COUNTIF($B:$B,B386)&gt;1,"כפולה","")</f>
        <v/>
      </c>
    </row>
    <row r="387">
      <c r="A387" s="5" t="n">
        <v>46198</v>
      </c>
      <c r="B387" s="6" t="n">
        <v>50383</v>
      </c>
      <c r="C387" s="6" t="inlineStr">
        <is>
          <t>C100</t>
        </is>
      </c>
      <c r="D387" s="6" t="inlineStr">
        <is>
          <t>P08</t>
        </is>
      </c>
      <c r="E387" s="6" t="n">
        <v>19</v>
      </c>
      <c r="F387" s="7" t="n">
        <v>199</v>
      </c>
      <c r="G387" s="6">
        <f>IFERROR(INDEX('לקוחות'!$B:$B,MATCH(C387,'לקוחות'!$A:$A,0)),"לא נמצא")</f>
        <v/>
      </c>
      <c r="H387" s="7">
        <f>E387*F387</f>
        <v/>
      </c>
      <c r="I387" s="6">
        <f>MONTH(A387)</f>
        <v/>
      </c>
      <c r="J387" s="7">
        <f>INDEX('מוצרים'!$D:$D,MATCH(D387,'מוצרים'!$A:$A,0))</f>
        <v/>
      </c>
      <c r="K387" s="7">
        <f>(F387-J387)*E387</f>
        <v/>
      </c>
      <c r="L387" s="6">
        <f>IF(COUNTIF($B:$B,B387)&gt;1,"כפולה","")</f>
        <v/>
      </c>
    </row>
    <row r="388">
      <c r="A388" s="5" t="n">
        <v>46198</v>
      </c>
      <c r="B388" s="6" t="n">
        <v>50384</v>
      </c>
      <c r="C388" s="6" t="inlineStr">
        <is>
          <t>C106</t>
        </is>
      </c>
      <c r="D388" s="6" t="inlineStr">
        <is>
          <t>P05</t>
        </is>
      </c>
      <c r="E388" s="6" t="n">
        <v>30</v>
      </c>
      <c r="F388" s="7" t="n">
        <v>135</v>
      </c>
      <c r="G388" s="6">
        <f>IFERROR(INDEX('לקוחות'!$B:$B,MATCH(C388,'לקוחות'!$A:$A,0)),"לא נמצא")</f>
        <v/>
      </c>
      <c r="H388" s="7">
        <f>E388*F388</f>
        <v/>
      </c>
      <c r="I388" s="6">
        <f>MONTH(A388)</f>
        <v/>
      </c>
      <c r="J388" s="7">
        <f>INDEX('מוצרים'!$D:$D,MATCH(D388,'מוצרים'!$A:$A,0))</f>
        <v/>
      </c>
      <c r="K388" s="7">
        <f>(F388-J388)*E388</f>
        <v/>
      </c>
      <c r="L388" s="6">
        <f>IF(COUNTIF($B:$B,B388)&gt;1,"כפולה","")</f>
        <v/>
      </c>
    </row>
    <row r="389">
      <c r="A389" s="5" t="n">
        <v>46199</v>
      </c>
      <c r="B389" s="6" t="n">
        <v>50385</v>
      </c>
      <c r="C389" s="6" t="inlineStr">
        <is>
          <t>C103</t>
        </is>
      </c>
      <c r="D389" s="6" t="inlineStr">
        <is>
          <t>P05</t>
        </is>
      </c>
      <c r="E389" s="6" t="n">
        <v>26</v>
      </c>
      <c r="F389" s="7" t="n">
        <v>150</v>
      </c>
      <c r="G389" s="6">
        <f>IFERROR(INDEX('לקוחות'!$B:$B,MATCH(C389,'לקוחות'!$A:$A,0)),"לא נמצא")</f>
        <v/>
      </c>
      <c r="H389" s="7">
        <f>E389*F389</f>
        <v/>
      </c>
      <c r="I389" s="6">
        <f>MONTH(A389)</f>
        <v/>
      </c>
      <c r="J389" s="7">
        <f>INDEX('מוצרים'!$D:$D,MATCH(D389,'מוצרים'!$A:$A,0))</f>
        <v/>
      </c>
      <c r="K389" s="7">
        <f>(F389-J389)*E389</f>
        <v/>
      </c>
      <c r="L389" s="6">
        <f>IF(COUNTIF($B:$B,B389)&gt;1,"כפולה","")</f>
        <v/>
      </c>
    </row>
    <row r="390">
      <c r="A390" s="5" t="n">
        <v>46199</v>
      </c>
      <c r="B390" s="6" t="n">
        <v>50386</v>
      </c>
      <c r="C390" s="6" t="inlineStr">
        <is>
          <t>C102</t>
        </is>
      </c>
      <c r="D390" s="6" t="inlineStr">
        <is>
          <t>P01</t>
        </is>
      </c>
      <c r="E390" s="6" t="n">
        <v>24</v>
      </c>
      <c r="F390" s="7" t="n">
        <v>85</v>
      </c>
      <c r="G390" s="6">
        <f>IFERROR(INDEX('לקוחות'!$B:$B,MATCH(C390,'לקוחות'!$A:$A,0)),"לא נמצא")</f>
        <v/>
      </c>
      <c r="H390" s="7">
        <f>E390*F390</f>
        <v/>
      </c>
      <c r="I390" s="6">
        <f>MONTH(A390)</f>
        <v/>
      </c>
      <c r="J390" s="7">
        <f>INDEX('מוצרים'!$D:$D,MATCH(D390,'מוצרים'!$A:$A,0))</f>
        <v/>
      </c>
      <c r="K390" s="7">
        <f>(F390-J390)*E390</f>
        <v/>
      </c>
      <c r="L390" s="6">
        <f>IF(COUNTIF($B:$B,B390)&gt;1,"כפולה","")</f>
        <v/>
      </c>
    </row>
    <row r="391">
      <c r="A391" s="5" t="n">
        <v>46199</v>
      </c>
      <c r="B391" s="6" t="n">
        <v>50387</v>
      </c>
      <c r="C391" s="6" t="inlineStr">
        <is>
          <t>C102</t>
        </is>
      </c>
      <c r="D391" s="6" t="inlineStr">
        <is>
          <t>P04</t>
        </is>
      </c>
      <c r="E391" s="6" t="n">
        <v>14</v>
      </c>
      <c r="F391" s="7" t="n">
        <v>32</v>
      </c>
      <c r="G391" s="6">
        <f>IFERROR(INDEX('לקוחות'!$B:$B,MATCH(C391,'לקוחות'!$A:$A,0)),"לא נמצא")</f>
        <v/>
      </c>
      <c r="H391" s="7">
        <f>E391*F391</f>
        <v/>
      </c>
      <c r="I391" s="6">
        <f>MONTH(A391)</f>
        <v/>
      </c>
      <c r="J391" s="7">
        <f>INDEX('מוצרים'!$D:$D,MATCH(D391,'מוצרים'!$A:$A,0))</f>
        <v/>
      </c>
      <c r="K391" s="7">
        <f>(F391-J391)*E391</f>
        <v/>
      </c>
      <c r="L391" s="6">
        <f>IF(COUNTIF($B:$B,B391)&gt;1,"כפולה","")</f>
        <v/>
      </c>
    </row>
    <row r="392">
      <c r="A392" s="5" t="n">
        <v>46199</v>
      </c>
      <c r="B392" s="6" t="n">
        <v>50388</v>
      </c>
      <c r="C392" s="6" t="inlineStr">
        <is>
          <t>C104</t>
        </is>
      </c>
      <c r="D392" s="6" t="inlineStr">
        <is>
          <t>P07</t>
        </is>
      </c>
      <c r="E392" s="6" t="n">
        <v>18</v>
      </c>
      <c r="F392" s="7" t="n">
        <v>95</v>
      </c>
      <c r="G392" s="6">
        <f>IFERROR(INDEX('לקוחות'!$B:$B,MATCH(C392,'לקוחות'!$A:$A,0)),"לא נמצא")</f>
        <v/>
      </c>
      <c r="H392" s="7">
        <f>E392*F392</f>
        <v/>
      </c>
      <c r="I392" s="6">
        <f>MONTH(A392)</f>
        <v/>
      </c>
      <c r="J392" s="7">
        <f>INDEX('מוצרים'!$D:$D,MATCH(D392,'מוצרים'!$A:$A,0))</f>
        <v/>
      </c>
      <c r="K392" s="7">
        <f>(F392-J392)*E392</f>
        <v/>
      </c>
      <c r="L392" s="6">
        <f>IF(COUNTIF($B:$B,B392)&gt;1,"כפולה","")</f>
        <v/>
      </c>
    </row>
    <row r="393">
      <c r="A393" s="5" t="n">
        <v>46200</v>
      </c>
      <c r="B393" s="6" t="n">
        <v>50389</v>
      </c>
      <c r="C393" s="6" t="inlineStr">
        <is>
          <t>C102</t>
        </is>
      </c>
      <c r="D393" s="6" t="inlineStr">
        <is>
          <t>P04</t>
        </is>
      </c>
      <c r="E393" s="6" t="n">
        <v>5</v>
      </c>
      <c r="F393" s="7" t="n">
        <v>32</v>
      </c>
      <c r="G393" s="6">
        <f>IFERROR(INDEX('לקוחות'!$B:$B,MATCH(C393,'לקוחות'!$A:$A,0)),"לא נמצא")</f>
        <v/>
      </c>
      <c r="H393" s="7">
        <f>E393*F393</f>
        <v/>
      </c>
      <c r="I393" s="6">
        <f>MONTH(A393)</f>
        <v/>
      </c>
      <c r="J393" s="7">
        <f>INDEX('מוצרים'!$D:$D,MATCH(D393,'מוצרים'!$A:$A,0))</f>
        <v/>
      </c>
      <c r="K393" s="7">
        <f>(F393-J393)*E393</f>
        <v/>
      </c>
      <c r="L393" s="6">
        <f>IF(COUNTIF($B:$B,B393)&gt;1,"כפולה","")</f>
        <v/>
      </c>
    </row>
    <row r="394">
      <c r="A394" s="5" t="n">
        <v>46200</v>
      </c>
      <c r="B394" s="6" t="n">
        <v>50390</v>
      </c>
      <c r="C394" s="6" t="inlineStr">
        <is>
          <t>C104</t>
        </is>
      </c>
      <c r="D394" s="6" t="inlineStr">
        <is>
          <t>P01</t>
        </is>
      </c>
      <c r="E394" s="6" t="n">
        <v>12</v>
      </c>
      <c r="F394" s="7" t="n">
        <v>85</v>
      </c>
      <c r="G394" s="6">
        <f>IFERROR(INDEX('לקוחות'!$B:$B,MATCH(C394,'לקוחות'!$A:$A,0)),"לא נמצא")</f>
        <v/>
      </c>
      <c r="H394" s="7">
        <f>E394*F394</f>
        <v/>
      </c>
      <c r="I394" s="6">
        <f>MONTH(A394)</f>
        <v/>
      </c>
      <c r="J394" s="7">
        <f>INDEX('מוצרים'!$D:$D,MATCH(D394,'מוצרים'!$A:$A,0))</f>
        <v/>
      </c>
      <c r="K394" s="7">
        <f>(F394-J394)*E394</f>
        <v/>
      </c>
      <c r="L394" s="6">
        <f>IF(COUNTIF($B:$B,B394)&gt;1,"כפולה","")</f>
        <v/>
      </c>
    </row>
    <row r="395">
      <c r="A395" s="5" t="n">
        <v>46200</v>
      </c>
      <c r="B395" s="6" t="n">
        <v>50391</v>
      </c>
      <c r="C395" s="6" t="inlineStr">
        <is>
          <t>C109</t>
        </is>
      </c>
      <c r="D395" s="6" t="inlineStr">
        <is>
          <t>P03</t>
        </is>
      </c>
      <c r="E395" s="6" t="n">
        <v>29</v>
      </c>
      <c r="F395" s="7" t="n">
        <v>12</v>
      </c>
      <c r="G395" s="6">
        <f>IFERROR(INDEX('לקוחות'!$B:$B,MATCH(C395,'לקוחות'!$A:$A,0)),"לא נמצא")</f>
        <v/>
      </c>
      <c r="H395" s="7">
        <f>E395*F395</f>
        <v/>
      </c>
      <c r="I395" s="6">
        <f>MONTH(A395)</f>
        <v/>
      </c>
      <c r="J395" s="7">
        <f>INDEX('מוצרים'!$D:$D,MATCH(D395,'מוצרים'!$A:$A,0))</f>
        <v/>
      </c>
      <c r="K395" s="7">
        <f>(F395-J395)*E395</f>
        <v/>
      </c>
      <c r="L395" s="6">
        <f>IF(COUNTIF($B:$B,B395)&gt;1,"כפולה","")</f>
        <v/>
      </c>
    </row>
    <row r="396">
      <c r="A396" s="5" t="n">
        <v>46201</v>
      </c>
      <c r="B396" s="6" t="n">
        <v>50392</v>
      </c>
      <c r="C396" s="6" t="inlineStr">
        <is>
          <t>C104</t>
        </is>
      </c>
      <c r="D396" s="6" t="inlineStr">
        <is>
          <t>P03</t>
        </is>
      </c>
      <c r="E396" s="6" t="n">
        <v>13</v>
      </c>
      <c r="F396" s="7" t="n">
        <v>13</v>
      </c>
      <c r="G396" s="6">
        <f>IFERROR(INDEX('לקוחות'!$B:$B,MATCH(C396,'לקוחות'!$A:$A,0)),"לא נמצא")</f>
        <v/>
      </c>
      <c r="H396" s="7">
        <f>E396*F396</f>
        <v/>
      </c>
      <c r="I396" s="6">
        <f>MONTH(A396)</f>
        <v/>
      </c>
      <c r="J396" s="7">
        <f>INDEX('מוצרים'!$D:$D,MATCH(D396,'מוצרים'!$A:$A,0))</f>
        <v/>
      </c>
      <c r="K396" s="7">
        <f>(F396-J396)*E396</f>
        <v/>
      </c>
      <c r="L396" s="6">
        <f>IF(COUNTIF($B:$B,B396)&gt;1,"כפולה","")</f>
        <v/>
      </c>
    </row>
    <row r="397">
      <c r="A397" s="5" t="n">
        <v>46201</v>
      </c>
      <c r="B397" s="6" t="n">
        <v>50393</v>
      </c>
      <c r="C397" s="6" t="inlineStr">
        <is>
          <t>C106</t>
        </is>
      </c>
      <c r="D397" s="6" t="inlineStr">
        <is>
          <t>P08</t>
        </is>
      </c>
      <c r="E397" s="6" t="n">
        <v>26</v>
      </c>
      <c r="F397" s="7" t="n">
        <v>199</v>
      </c>
      <c r="G397" s="6">
        <f>IFERROR(INDEX('לקוחות'!$B:$B,MATCH(C397,'לקוחות'!$A:$A,0)),"לא נמצא")</f>
        <v/>
      </c>
      <c r="H397" s="7">
        <f>E397*F397</f>
        <v/>
      </c>
      <c r="I397" s="6">
        <f>MONTH(A397)</f>
        <v/>
      </c>
      <c r="J397" s="7">
        <f>INDEX('מוצרים'!$D:$D,MATCH(D397,'מוצרים'!$A:$A,0))</f>
        <v/>
      </c>
      <c r="K397" s="7">
        <f>(F397-J397)*E397</f>
        <v/>
      </c>
      <c r="L397" s="6">
        <f>IF(COUNTIF($B:$B,B397)&gt;1,"כפולה","")</f>
        <v/>
      </c>
    </row>
    <row r="398">
      <c r="A398" s="5" t="n">
        <v>46201</v>
      </c>
      <c r="B398" s="6" t="n">
        <v>50394</v>
      </c>
      <c r="C398" s="6" t="inlineStr">
        <is>
          <t>C108</t>
        </is>
      </c>
      <c r="D398" s="6" t="inlineStr">
        <is>
          <t>P08</t>
        </is>
      </c>
      <c r="E398" s="6" t="n">
        <v>4</v>
      </c>
      <c r="F398" s="7" t="n">
        <v>199</v>
      </c>
      <c r="G398" s="6">
        <f>IFERROR(INDEX('לקוחות'!$B:$B,MATCH(C398,'לקוחות'!$A:$A,0)),"לא נמצא")</f>
        <v/>
      </c>
      <c r="H398" s="7">
        <f>E398*F398</f>
        <v/>
      </c>
      <c r="I398" s="6">
        <f>MONTH(A398)</f>
        <v/>
      </c>
      <c r="J398" s="7">
        <f>INDEX('מוצרים'!$D:$D,MATCH(D398,'מוצרים'!$A:$A,0))</f>
        <v/>
      </c>
      <c r="K398" s="7">
        <f>(F398-J398)*E398</f>
        <v/>
      </c>
      <c r="L398" s="6">
        <f>IF(COUNTIF($B:$B,B398)&gt;1,"כפולה","")</f>
        <v/>
      </c>
    </row>
    <row r="399">
      <c r="A399" s="5" t="n">
        <v>46201</v>
      </c>
      <c r="B399" s="6" t="n">
        <v>50395</v>
      </c>
      <c r="C399" s="6" t="inlineStr">
        <is>
          <t>C107</t>
        </is>
      </c>
      <c r="D399" s="6" t="inlineStr">
        <is>
          <t>P02</t>
        </is>
      </c>
      <c r="E399" s="6" t="n">
        <v>2</v>
      </c>
      <c r="F399" s="7" t="n">
        <v>110</v>
      </c>
      <c r="G399" s="6">
        <f>IFERROR(INDEX('לקוחות'!$B:$B,MATCH(C399,'לקוחות'!$A:$A,0)),"לא נמצא")</f>
        <v/>
      </c>
      <c r="H399" s="7">
        <f>E399*F399</f>
        <v/>
      </c>
      <c r="I399" s="6">
        <f>MONTH(A399)</f>
        <v/>
      </c>
      <c r="J399" s="7">
        <f>INDEX('מוצרים'!$D:$D,MATCH(D399,'מוצרים'!$A:$A,0))</f>
        <v/>
      </c>
      <c r="K399" s="7">
        <f>(F399-J399)*E399</f>
        <v/>
      </c>
      <c r="L399" s="6">
        <f>IF(COUNTIF($B:$B,B399)&gt;1,"כפולה","")</f>
        <v/>
      </c>
    </row>
    <row r="400">
      <c r="A400" s="5" t="n">
        <v>46201</v>
      </c>
      <c r="B400" s="6" t="n">
        <v>50396</v>
      </c>
      <c r="C400" s="6" t="inlineStr">
        <is>
          <t>C108</t>
        </is>
      </c>
      <c r="D400" s="6" t="inlineStr">
        <is>
          <t>P07</t>
        </is>
      </c>
      <c r="E400" s="6" t="n">
        <v>38</v>
      </c>
      <c r="F400" s="7" t="n">
        <v>95</v>
      </c>
      <c r="G400" s="6">
        <f>IFERROR(INDEX('לקוחות'!$B:$B,MATCH(C400,'לקוחות'!$A:$A,0)),"לא נמצא")</f>
        <v/>
      </c>
      <c r="H400" s="7">
        <f>E400*F400</f>
        <v/>
      </c>
      <c r="I400" s="6">
        <f>MONTH(A400)</f>
        <v/>
      </c>
      <c r="J400" s="7">
        <f>INDEX('מוצרים'!$D:$D,MATCH(D400,'מוצרים'!$A:$A,0))</f>
        <v/>
      </c>
      <c r="K400" s="7">
        <f>(F400-J400)*E400</f>
        <v/>
      </c>
      <c r="L400" s="6">
        <f>IF(COUNTIF($B:$B,B400)&gt;1,"כפולה","")</f>
        <v/>
      </c>
    </row>
    <row r="401">
      <c r="A401" s="5" t="n">
        <v>46201</v>
      </c>
      <c r="B401" s="6" t="n">
        <v>50397</v>
      </c>
      <c r="C401" s="6" t="inlineStr">
        <is>
          <t>C106</t>
        </is>
      </c>
      <c r="D401" s="6" t="inlineStr">
        <is>
          <t>P03</t>
        </is>
      </c>
      <c r="E401" s="6" t="n">
        <v>39</v>
      </c>
      <c r="F401" s="7" t="n">
        <v>13</v>
      </c>
      <c r="G401" s="6">
        <f>IFERROR(INDEX('לקוחות'!$B:$B,MATCH(C401,'לקוחות'!$A:$A,0)),"לא נמצא")</f>
        <v/>
      </c>
      <c r="H401" s="7">
        <f>E401*F401</f>
        <v/>
      </c>
      <c r="I401" s="6">
        <f>MONTH(A401)</f>
        <v/>
      </c>
      <c r="J401" s="7">
        <f>INDEX('מוצרים'!$D:$D,MATCH(D401,'מוצרים'!$A:$A,0))</f>
        <v/>
      </c>
      <c r="K401" s="7">
        <f>(F401-J401)*E401</f>
        <v/>
      </c>
      <c r="L401" s="6">
        <f>IF(COUNTIF($B:$B,B401)&gt;1,"כפולה","")</f>
        <v/>
      </c>
    </row>
    <row r="402">
      <c r="A402" s="5" t="n">
        <v>46202</v>
      </c>
      <c r="B402" s="6" t="n">
        <v>50398</v>
      </c>
      <c r="C402" s="6" t="inlineStr">
        <is>
          <t>C101</t>
        </is>
      </c>
      <c r="D402" s="6" t="inlineStr">
        <is>
          <t>P07</t>
        </is>
      </c>
      <c r="E402" s="6" t="n">
        <v>3</v>
      </c>
      <c r="F402" s="7" t="n">
        <v>95</v>
      </c>
      <c r="G402" s="6">
        <f>IFERROR(INDEX('לקוחות'!$B:$B,MATCH(C402,'לקוחות'!$A:$A,0)),"לא נמצא")</f>
        <v/>
      </c>
      <c r="H402" s="7">
        <f>E402*F402</f>
        <v/>
      </c>
      <c r="I402" s="6">
        <f>MONTH(A402)</f>
        <v/>
      </c>
      <c r="J402" s="7">
        <f>INDEX('מוצרים'!$D:$D,MATCH(D402,'מוצרים'!$A:$A,0))</f>
        <v/>
      </c>
      <c r="K402" s="7">
        <f>(F402-J402)*E402</f>
        <v/>
      </c>
      <c r="L402" s="6">
        <f>IF(COUNTIF($B:$B,B402)&gt;1,"כפולה","")</f>
        <v/>
      </c>
    </row>
    <row r="403">
      <c r="A403" s="5" t="n">
        <v>46202</v>
      </c>
      <c r="B403" s="6" t="n">
        <v>50399</v>
      </c>
      <c r="C403" s="6" t="inlineStr">
        <is>
          <t>C102</t>
        </is>
      </c>
      <c r="D403" s="6" t="inlineStr">
        <is>
          <t>P06</t>
        </is>
      </c>
      <c r="E403" s="6" t="n">
        <v>33</v>
      </c>
      <c r="F403" s="7" t="n">
        <v>70</v>
      </c>
      <c r="G403" s="6">
        <f>IFERROR(INDEX('לקוחות'!$B:$B,MATCH(C403,'לקוחות'!$A:$A,0)),"לא נמצא")</f>
        <v/>
      </c>
      <c r="H403" s="7">
        <f>E403*F403</f>
        <v/>
      </c>
      <c r="I403" s="6">
        <f>MONTH(A403)</f>
        <v/>
      </c>
      <c r="J403" s="7">
        <f>INDEX('מוצרים'!$D:$D,MATCH(D403,'מוצרים'!$A:$A,0))</f>
        <v/>
      </c>
      <c r="K403" s="7">
        <f>(F403-J403)*E403</f>
        <v/>
      </c>
      <c r="L403" s="6">
        <f>IF(COUNTIF($B:$B,B403)&gt;1,"כפולה","")</f>
        <v/>
      </c>
    </row>
    <row r="404">
      <c r="A404" s="5" t="n">
        <v>46203</v>
      </c>
      <c r="B404" s="6" t="n">
        <v>50400</v>
      </c>
      <c r="C404" s="6" t="inlineStr">
        <is>
          <t>C104</t>
        </is>
      </c>
      <c r="D404" s="6" t="inlineStr">
        <is>
          <t>P08</t>
        </is>
      </c>
      <c r="E404" s="6" t="n">
        <v>5</v>
      </c>
      <c r="F404" s="7" t="n">
        <v>199</v>
      </c>
      <c r="G404" s="6">
        <f>IFERROR(INDEX('לקוחות'!$B:$B,MATCH(C404,'לקוחות'!$A:$A,0)),"לא נמצא")</f>
        <v/>
      </c>
      <c r="H404" s="7">
        <f>E404*F404</f>
        <v/>
      </c>
      <c r="I404" s="6">
        <f>MONTH(A404)</f>
        <v/>
      </c>
      <c r="J404" s="7">
        <f>INDEX('מוצרים'!$D:$D,MATCH(D404,'מוצרים'!$A:$A,0))</f>
        <v/>
      </c>
      <c r="K404" s="7">
        <f>(F404-J404)*E404</f>
        <v/>
      </c>
      <c r="L404" s="6">
        <f>IF(COUNTIF($B:$B,B404)&gt;1,"כפולה","")</f>
        <v/>
      </c>
    </row>
  </sheetData>
  <autoFilter ref="A1:L40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</cols>
  <sheetData>
    <row r="1">
      <c r="A1" s="4" t="inlineStr">
        <is>
          <t>קוד לקוח</t>
        </is>
      </c>
      <c r="B1" s="4" t="inlineStr">
        <is>
          <t>שם לקוח</t>
        </is>
      </c>
      <c r="C1" s="4" t="inlineStr">
        <is>
          <t>עיר</t>
        </is>
      </c>
      <c r="D1" s="4" t="inlineStr">
        <is>
          <t>תנאי תשלום (ימים)</t>
        </is>
      </c>
    </row>
    <row r="2">
      <c r="A2" s="6" t="inlineStr">
        <is>
          <t>C100</t>
        </is>
      </c>
      <c r="B2" s="6" t="inlineStr">
        <is>
          <t>רשת מזון השרון</t>
        </is>
      </c>
      <c r="C2" s="6" t="inlineStr">
        <is>
          <t>נתניה</t>
        </is>
      </c>
      <c r="D2" s="6" t="n">
        <v>30</v>
      </c>
    </row>
    <row r="3">
      <c r="A3" s="6" t="inlineStr">
        <is>
          <t>C101</t>
        </is>
      </c>
      <c r="B3" s="6" t="inlineStr">
        <is>
          <t>סופר גליל</t>
        </is>
      </c>
      <c r="C3" s="6" t="inlineStr">
        <is>
          <t>כרמיאל</t>
        </is>
      </c>
      <c r="D3" s="6" t="n">
        <v>60</v>
      </c>
    </row>
    <row r="4">
      <c r="A4" s="6" t="inlineStr">
        <is>
          <t>C102</t>
        </is>
      </c>
      <c r="B4" s="6" t="inlineStr">
        <is>
          <t>מרכולית הדרום</t>
        </is>
      </c>
      <c r="C4" s="6" t="inlineStr">
        <is>
          <t>באר שבע</t>
        </is>
      </c>
      <c r="D4" s="6" t="n">
        <v>45</v>
      </c>
    </row>
    <row r="5">
      <c r="A5" s="6" t="inlineStr">
        <is>
          <t>C103</t>
        </is>
      </c>
      <c r="B5" s="6" t="inlineStr">
        <is>
          <t>קפה פינתי</t>
        </is>
      </c>
      <c r="C5" s="6" t="inlineStr">
        <is>
          <t>תל אביב</t>
        </is>
      </c>
      <c r="D5" s="6" t="n">
        <v>30</v>
      </c>
    </row>
    <row r="6">
      <c r="A6" s="6" t="inlineStr">
        <is>
          <t>C104</t>
        </is>
      </c>
      <c r="B6" s="6" t="inlineStr">
        <is>
          <t>מלון הים</t>
        </is>
      </c>
      <c r="C6" s="6" t="inlineStr">
        <is>
          <t>אילת</t>
        </is>
      </c>
      <c r="D6" s="6" t="n">
        <v>60</v>
      </c>
    </row>
    <row r="7">
      <c r="A7" s="6" t="inlineStr">
        <is>
          <t>C105</t>
        </is>
      </c>
      <c r="B7" s="6" t="inlineStr">
        <is>
          <t>קייטרינג זהב</t>
        </is>
      </c>
      <c r="C7" s="6" t="inlineStr">
        <is>
          <t>חיפה</t>
        </is>
      </c>
      <c r="D7" s="6" t="n">
        <v>30</v>
      </c>
    </row>
    <row r="8">
      <c r="A8" s="6" t="inlineStr">
        <is>
          <t>C106</t>
        </is>
      </c>
      <c r="B8" s="6" t="inlineStr">
        <is>
          <t>בית ספר אורט</t>
        </is>
      </c>
      <c r="C8" s="6" t="inlineStr">
        <is>
          <t>ירושלים</t>
        </is>
      </c>
      <c r="D8" s="6" t="n">
        <v>90</v>
      </c>
    </row>
    <row r="9">
      <c r="A9" s="6" t="inlineStr">
        <is>
          <t>C107</t>
        </is>
      </c>
      <c r="B9" s="6" t="inlineStr">
        <is>
          <t>מסעדת זית</t>
        </is>
      </c>
      <c r="C9" s="6" t="inlineStr">
        <is>
          <t>ראשון לציון</t>
        </is>
      </c>
      <c r="D9" s="6" t="n">
        <v>30</v>
      </c>
    </row>
    <row r="10">
      <c r="A10" s="6" t="inlineStr">
        <is>
          <t>C108</t>
        </is>
      </c>
      <c r="B10" s="6" t="inlineStr">
        <is>
          <t>מיני מרקט הכפר</t>
        </is>
      </c>
      <c r="C10" s="6" t="inlineStr">
        <is>
          <t>עפולה</t>
        </is>
      </c>
      <c r="D10" s="6" t="n">
        <v>45</v>
      </c>
    </row>
    <row r="11">
      <c r="A11" s="6" t="inlineStr">
        <is>
          <t>C109</t>
        </is>
      </c>
      <c r="B11" s="6" t="inlineStr">
        <is>
          <t>בית אבות נווה</t>
        </is>
      </c>
      <c r="C11" s="6" t="inlineStr">
        <is>
          <t>רחובות</t>
        </is>
      </c>
      <c r="D11" s="6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12" customWidth="1" min="4" max="4"/>
    <col width="12" customWidth="1" min="5" max="5"/>
  </cols>
  <sheetData>
    <row r="1">
      <c r="A1" s="4" t="inlineStr">
        <is>
          <t>קוד מוצר</t>
        </is>
      </c>
      <c r="B1" s="4" t="inlineStr">
        <is>
          <t>שם מוצר</t>
        </is>
      </c>
      <c r="C1" s="4" t="inlineStr">
        <is>
          <t>קטגוריה</t>
        </is>
      </c>
      <c r="D1" s="4" t="inlineStr">
        <is>
          <t>עלות ליחידה</t>
        </is>
      </c>
      <c r="E1" s="4" t="inlineStr">
        <is>
          <t>מחיר מחירון</t>
        </is>
      </c>
    </row>
    <row r="2">
      <c r="A2" s="6" t="inlineStr">
        <is>
          <t>P01</t>
        </is>
      </c>
      <c r="B2" s="6" t="inlineStr">
        <is>
          <t>פולי קפה 1 ק"ג</t>
        </is>
      </c>
      <c r="C2" s="6" t="inlineStr">
        <is>
          <t>קפה</t>
        </is>
      </c>
      <c r="D2" s="7" t="n">
        <v>48</v>
      </c>
      <c r="E2" s="7" t="n">
        <v>85</v>
      </c>
    </row>
    <row r="3">
      <c r="A3" s="6" t="inlineStr">
        <is>
          <t>P02</t>
        </is>
      </c>
      <c r="B3" s="6" t="inlineStr">
        <is>
          <t>קפסולות 100 יח'</t>
        </is>
      </c>
      <c r="C3" s="6" t="inlineStr">
        <is>
          <t>קפה</t>
        </is>
      </c>
      <c r="D3" s="7" t="n">
        <v>60</v>
      </c>
      <c r="E3" s="7" t="n">
        <v>110</v>
      </c>
    </row>
    <row r="4">
      <c r="A4" s="6" t="inlineStr">
        <is>
          <t>P03</t>
        </is>
      </c>
      <c r="B4" s="6" t="inlineStr">
        <is>
          <t>חלב שיבולת 1 ל'</t>
        </is>
      </c>
      <c r="C4" s="6" t="inlineStr">
        <is>
          <t>משקאות</t>
        </is>
      </c>
      <c r="D4" s="7" t="n">
        <v>7</v>
      </c>
      <c r="E4" s="7" t="n">
        <v>13</v>
      </c>
    </row>
    <row r="5">
      <c r="A5" s="6" t="inlineStr">
        <is>
          <t>P04</t>
        </is>
      </c>
      <c r="B5" s="6" t="inlineStr">
        <is>
          <t>סירופ וניל</t>
        </is>
      </c>
      <c r="C5" s="6" t="inlineStr">
        <is>
          <t>משקאות</t>
        </is>
      </c>
      <c r="D5" s="7" t="n">
        <v>18</v>
      </c>
      <c r="E5" s="7" t="n">
        <v>32</v>
      </c>
    </row>
    <row r="6">
      <c r="A6" s="6" t="inlineStr">
        <is>
          <t>P05</t>
        </is>
      </c>
      <c r="B6" s="6" t="inlineStr">
        <is>
          <t>כוסות נייר 1000</t>
        </is>
      </c>
      <c r="C6" s="6" t="inlineStr">
        <is>
          <t>חד פעמי</t>
        </is>
      </c>
      <c r="D6" s="7" t="n">
        <v>90</v>
      </c>
      <c r="E6" s="7" t="n">
        <v>150</v>
      </c>
    </row>
    <row r="7">
      <c r="A7" s="6" t="inlineStr">
        <is>
          <t>P06</t>
        </is>
      </c>
      <c r="B7" s="6" t="inlineStr">
        <is>
          <t>מכסים 1000</t>
        </is>
      </c>
      <c r="C7" s="6" t="inlineStr">
        <is>
          <t>חד פעמי</t>
        </is>
      </c>
      <c r="D7" s="7" t="n">
        <v>40</v>
      </c>
      <c r="E7" s="7" t="n">
        <v>70</v>
      </c>
    </row>
    <row r="8">
      <c r="A8" s="6" t="inlineStr">
        <is>
          <t>P07</t>
        </is>
      </c>
      <c r="B8" s="6" t="inlineStr">
        <is>
          <t>עוגיות חמאה ארגז</t>
        </is>
      </c>
      <c r="C8" s="6" t="inlineStr">
        <is>
          <t>מאפים</t>
        </is>
      </c>
      <c r="D8" s="7" t="n">
        <v>55</v>
      </c>
      <c r="E8" s="7" t="n">
        <v>95</v>
      </c>
    </row>
    <row r="9">
      <c r="A9" s="6" t="inlineStr">
        <is>
          <t>P08</t>
        </is>
      </c>
      <c r="B9" s="6" t="inlineStr">
        <is>
          <t>קרואסון קפוא 50</t>
        </is>
      </c>
      <c r="C9" s="6" t="inlineStr">
        <is>
          <t>מאפים</t>
        </is>
      </c>
      <c r="D9" s="7" t="n">
        <v>120</v>
      </c>
      <c r="E9" s="7" t="n">
        <v>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rightToLeft="1"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60" customWidth="1" min="3" max="3"/>
  </cols>
  <sheetData>
    <row r="1">
      <c r="A1" s="8" t="inlineStr">
        <is>
          <t>שאלה</t>
        </is>
      </c>
      <c r="B1" s="8" t="inlineStr">
        <is>
          <t>תשובה</t>
        </is>
      </c>
      <c r="C1" s="8" t="inlineStr">
        <is>
          <t>איך</t>
        </is>
      </c>
    </row>
    <row r="2">
      <c r="A2" s="9" t="inlineStr">
        <is>
          <t>מה סך המכירות (לפני מע"מ) בכל הקובץ, כולל הכפולות?</t>
        </is>
      </c>
      <c r="B2" s="10" t="n">
        <v>801287</v>
      </c>
      <c r="C2" t="inlineStr">
        <is>
          <t>נוסחה אפשרית: =SUM('מכירות'!H:H)</t>
        </is>
      </c>
    </row>
    <row r="3">
      <c r="A3" s="9" t="inlineStr">
        <is>
          <t>מה סך המכירות בחודש יוני?</t>
        </is>
      </c>
      <c r="B3" s="10" t="n">
        <v>144576</v>
      </c>
      <c r="C3" t="inlineStr">
        <is>
          <t>נוסחה אפשרית: =SUMIFS('מכירות'!H:H,'מכירות'!I:I,6)</t>
        </is>
      </c>
    </row>
    <row r="4">
      <c r="A4" s="9" t="inlineStr">
        <is>
          <t>איזה לקוח (קוד) קנה הכי הרבה? (רמז: טבלת ציר)</t>
        </is>
      </c>
      <c r="B4" s="10" t="inlineStr">
        <is>
          <t>C108</t>
        </is>
      </c>
    </row>
    <row r="5">
      <c r="A5" s="9" t="inlineStr">
        <is>
          <t>כמה מכרנו בקטגוריית "קפה"? (רמז: הוסיפי עמודת קטגוריה)</t>
        </is>
      </c>
      <c r="B5" s="10" t="n">
        <v>214100</v>
      </c>
    </row>
    <row r="6">
      <c r="A6" s="9" t="inlineStr">
        <is>
          <t>מה הרווח הגולמי הכולל?</t>
        </is>
      </c>
      <c r="B6" s="10" t="n">
        <v>332165</v>
      </c>
      <c r="C6" t="inlineStr">
        <is>
          <t>נוסחה אפשרית: =SUM('מכירות'!K:K)</t>
        </is>
      </c>
    </row>
    <row r="7">
      <c r="A7" s="9" t="inlineStr">
        <is>
          <t>כמה חשבוניות כפולות מצאת?</t>
        </is>
      </c>
      <c r="B7" s="10" t="n">
        <v>3</v>
      </c>
      <c r="C7" t="inlineStr">
        <is>
          <t>נוסחה אפשרית: =COUNTIF('מכירות'!L:L,"כפולה")/2</t>
        </is>
      </c>
    </row>
    <row r="8">
      <c r="A8" s="9" t="inlineStr">
        <is>
          <t>מה סך המכירות אחרי מחיקת הכפולות?</t>
        </is>
      </c>
      <c r="B8" s="10" t="n">
        <v>792457</v>
      </c>
    </row>
    <row r="9">
      <c r="A9" s="9" t="inlineStr">
        <is>
          <t>בכמה אחוזים השתנו המכירות מרבעון 1 לרבעון 2?</t>
        </is>
      </c>
      <c r="B9" s="11" t="n">
        <v>0.2379130347352751</v>
      </c>
    </row>
    <row r="10">
      <c r="A10" s="9" t="inlineStr">
        <is>
          <t>אילו קודי לקוח לא קיימים ברשימה?</t>
        </is>
      </c>
      <c r="B10" s="10" t="inlineStr">
        <is>
          <t>C111, C112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2026-09-29T23:18:47Z</dcterms:created>
  <dcterms:modified xsi:type="dcterms:W3CDTF">2026-09-29T23:18:47Z</dcterms:modified>
</cp:coreProperties>
</file>