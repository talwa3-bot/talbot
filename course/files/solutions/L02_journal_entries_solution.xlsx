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עסקאות" sheetId="2" state="visible" r:id="rId2"/>
    <sheet name="רשימת חשבונות" sheetId="3" state="visible" r:id="rId3"/>
    <sheet name="פקודות יומן" sheetId="4" state="visible" r:id="rId4"/>
    <sheet name="מאזן בוח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164" fontId="0" fillId="0" borderId="1" pivotButton="0" quotePrefix="0" xfId="0"/>
    <xf numFmtId="164" fontId="0" fillId="0" borderId="0" pivotButton="0" quotePrefix="0" xfId="0"/>
    <xf numFmtId="164" fontId="0" fillId="3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שלב 2 | פקודות יומן | קפה נחת בע"מ</t>
        </is>
      </c>
    </row>
    <row r="3">
      <c r="A3" s="2" t="inlineStr">
        <is>
          <t>הסיפור: פתחת בית קפה קטן בשם "קפה נחת בע"מ". את החשבת. כל כסף שזז צריך להירשם.</t>
        </is>
      </c>
    </row>
    <row r="4">
      <c r="A4" s="3" t="inlineStr">
        <is>
          <t>מקרא צבעים: כותרת כהה = נתון קבוע. תא צהוב = כאן את ממלאת. בקובץ הפתרון תאים ירוקים = התשובה.</t>
        </is>
      </c>
    </row>
    <row r="5">
      <c r="A5" s="2" t="inlineStr"/>
    </row>
    <row r="6">
      <c r="A6" s="3" t="inlineStr">
        <is>
          <t>שלב 1: פתחי את הגיליון "עסקאות" וקראי כל עסקה. שאלי את עצמך: מה נכנס? מה יצא?</t>
        </is>
      </c>
    </row>
    <row r="7">
      <c r="A7" s="3" t="inlineStr">
        <is>
          <t>שלב 2: פתחי את הגיליון "רשימת חשבונות". מכאן בוחרים שמות חשבונות. לא ממציאים שמות חדשים.</t>
        </is>
      </c>
    </row>
    <row r="8">
      <c r="A8" s="3" t="inlineStr">
        <is>
          <t>שלב 3: בגיליון "פקודות יומן" רשמי לכל עסקה שורה אחת או יותר: חשבון, חובה, זכות.</t>
        </is>
      </c>
    </row>
    <row r="9">
      <c r="A9" s="3" t="inlineStr">
        <is>
          <t>שלב 4: בדיקה. בכל פקודה סכום החובה חייב להיות שווה לסכום הזכות. עמודת הבדיקה צריכה להראות 0.</t>
        </is>
      </c>
    </row>
    <row r="10">
      <c r="A10" s="3" t="inlineStr">
        <is>
          <t>שלב 5: בגיליון "מאזן בוחן" סכמי לכל חשבון את כל החובה ואת כל הזכות (רמז: SUMIFS).</t>
        </is>
      </c>
    </row>
    <row r="11">
      <c r="A11" s="3" t="inlineStr">
        <is>
          <t>שלב 6: בדיקה אחרונה. סך כל החובה במאזן הבוחן = סך כל הזכות. אם לא, יש טעות. חפשי אותה.</t>
        </is>
      </c>
    </row>
    <row r="12">
      <c r="A12" s="2" t="inlineStr"/>
    </row>
    <row r="13">
      <c r="A13" s="2" t="inlineStr">
        <is>
          <t>טיפ ADHD: עשי 3 עסקאות, קומי לשתות מים, עוד 3 עסקאות. 12 עסקאות = 4 סבבים קצרים.</t>
        </is>
      </c>
    </row>
    <row r="14">
      <c r="A14" s="2" t="inlineStr">
        <is>
          <t>טיפ: מע"מ בישראל הוא 18%. מחיר "כולל מע"מ" מחלקים ב-1.18 כדי לקבל את המחיר בלי מע"מ.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90" customWidth="1" min="3" max="3"/>
  </cols>
  <sheetData>
    <row r="1">
      <c r="A1" s="4" t="inlineStr">
        <is>
          <t>מס' עסקה</t>
        </is>
      </c>
      <c r="B1" s="4" t="inlineStr">
        <is>
          <t>תאריך</t>
        </is>
      </c>
      <c r="C1" s="4" t="inlineStr">
        <is>
          <t>מה קרה</t>
        </is>
      </c>
    </row>
    <row r="2">
      <c r="A2" s="5" t="n">
        <v>1</v>
      </c>
      <c r="B2" s="5" t="inlineStr">
        <is>
          <t>02/01/2026</t>
        </is>
      </c>
      <c r="C2" s="5" t="inlineStr">
        <is>
          <t>בעלת המניות הפקידה 100,000 ₪ בחשבון הבנק של החברה כהון ראשוני</t>
        </is>
      </c>
    </row>
    <row r="3">
      <c r="A3" s="5" t="n">
        <v>2</v>
      </c>
      <c r="B3" s="5" t="inlineStr">
        <is>
          <t>03/01/2026</t>
        </is>
      </c>
      <c r="C3" s="5" t="inlineStr">
        <is>
          <t>קנינו מכונת אספרסו ב-30,000 ₪ + מע"מ, שולם בהעברה בנקאית</t>
        </is>
      </c>
    </row>
    <row r="4">
      <c r="A4" s="5" t="n">
        <v>3</v>
      </c>
      <c r="B4" s="5" t="inlineStr">
        <is>
          <t>05/01/2026</t>
        </is>
      </c>
      <c r="C4" s="5" t="inlineStr">
        <is>
          <t>קנינו פולי קפה מספק ב-5,000 ₪ + מע"מ, נשלם בעוד 30 יום (באשראי)</t>
        </is>
      </c>
    </row>
    <row r="5">
      <c r="A5" s="5" t="n">
        <v>4</v>
      </c>
      <c r="B5" s="5" t="inlineStr">
        <is>
          <t>31/01/2026</t>
        </is>
      </c>
      <c r="C5" s="5" t="inlineStr">
        <is>
          <t>מכירות בקופה בחודש ינואר: 23,600 ₪ כולל מע"מ, נכנסו לבנק</t>
        </is>
      </c>
    </row>
    <row r="6">
      <c r="A6" s="5" t="n">
        <v>5</v>
      </c>
      <c r="B6" s="5" t="inlineStr">
        <is>
          <t>01/01/2026</t>
        </is>
      </c>
      <c r="C6" s="5" t="inlineStr">
        <is>
          <t>שילמנו שכירות לחודש ינואר: 8,000 ₪ + מע"מ</t>
        </is>
      </c>
    </row>
    <row r="7">
      <c r="A7" s="5" t="n">
        <v>6</v>
      </c>
      <c r="B7" s="5" t="inlineStr">
        <is>
          <t>04/02/2026</t>
        </is>
      </c>
      <c r="C7" s="5" t="inlineStr">
        <is>
          <t>שילמנו לספק הפולים את החוב מעסקה 3</t>
        </is>
      </c>
    </row>
    <row r="8">
      <c r="A8" s="5" t="n">
        <v>7</v>
      </c>
      <c r="B8" s="5" t="inlineStr">
        <is>
          <t>20/01/2026</t>
        </is>
      </c>
      <c r="C8" s="5" t="inlineStr">
        <is>
          <t>הוצאנו חשבונית ללקוח עסקי על אירוע: 10,000 ₪ + מע"מ, ישלם בעוד 30 יום</t>
        </is>
      </c>
    </row>
    <row r="9">
      <c r="A9" s="5" t="n">
        <v>8</v>
      </c>
      <c r="B9" s="5" t="inlineStr">
        <is>
          <t>10/01/2026</t>
        </is>
      </c>
      <c r="C9" s="5" t="inlineStr">
        <is>
          <t>קיבלנו הלוואה מהבנק: 50,000 ₪</t>
        </is>
      </c>
    </row>
    <row r="10">
      <c r="A10" s="5" t="n">
        <v>9</v>
      </c>
      <c r="B10" s="5" t="inlineStr">
        <is>
          <t>31/01/2026</t>
        </is>
      </c>
      <c r="C10" s="5" t="inlineStr">
        <is>
          <t>שילמנו משכורות לעובדים: 12,000 ₪ (בפשטות, בלי ניכויים)</t>
        </is>
      </c>
    </row>
    <row r="11">
      <c r="A11" s="5" t="n">
        <v>10</v>
      </c>
      <c r="B11" s="5" t="inlineStr">
        <is>
          <t>25/01/2026</t>
        </is>
      </c>
      <c r="C11" s="5" t="inlineStr">
        <is>
          <t>חשבון חשמל: 1,180 ₪ כולל מע"מ, שולם מהבנק</t>
        </is>
      </c>
    </row>
    <row r="12">
      <c r="A12" s="5" t="n">
        <v>11</v>
      </c>
      <c r="B12" s="5" t="inlineStr">
        <is>
          <t>19/02/2026</t>
        </is>
      </c>
      <c r="C12" s="5" t="inlineStr">
        <is>
          <t>הלקוח העסקי מעסקה 7 שילם את כל החוב</t>
        </is>
      </c>
    </row>
    <row r="13">
      <c r="A13" s="5" t="n">
        <v>12</v>
      </c>
      <c r="B13" s="5" t="inlineStr">
        <is>
          <t>28/01/2026</t>
        </is>
      </c>
      <c r="C13" s="5" t="inlineStr">
        <is>
          <t>קיבלנו חשבונית על פרסום באינסטגרם: 2,000 ₪ + מע"מ, עוד לא שילמנו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4" t="inlineStr">
        <is>
          <t>שם חשבון</t>
        </is>
      </c>
      <c r="B1" s="4" t="inlineStr">
        <is>
          <t>סוג</t>
        </is>
      </c>
    </row>
    <row r="2">
      <c r="A2" s="5" t="inlineStr">
        <is>
          <t>בנק</t>
        </is>
      </c>
      <c r="B2" s="5" t="inlineStr">
        <is>
          <t>נכס</t>
        </is>
      </c>
    </row>
    <row r="3">
      <c r="A3" s="5" t="inlineStr">
        <is>
          <t>לקוחות</t>
        </is>
      </c>
      <c r="B3" s="5" t="inlineStr">
        <is>
          <t>נכס</t>
        </is>
      </c>
    </row>
    <row r="4">
      <c r="A4" s="5" t="inlineStr">
        <is>
          <t>קניות מלאי</t>
        </is>
      </c>
      <c r="B4" s="5" t="inlineStr">
        <is>
          <t>הוצאה</t>
        </is>
      </c>
    </row>
    <row r="5">
      <c r="A5" s="5" t="inlineStr">
        <is>
          <t>ציוד (רכוש קבוע)</t>
        </is>
      </c>
      <c r="B5" s="5" t="inlineStr">
        <is>
          <t>נכס</t>
        </is>
      </c>
    </row>
    <row r="6">
      <c r="A6" s="5" t="inlineStr">
        <is>
          <t>מע"מ תשומות</t>
        </is>
      </c>
      <c r="B6" s="5" t="inlineStr">
        <is>
          <t>נכס</t>
        </is>
      </c>
    </row>
    <row r="7">
      <c r="A7" s="5" t="inlineStr">
        <is>
          <t>ספקים</t>
        </is>
      </c>
      <c r="B7" s="5" t="inlineStr">
        <is>
          <t>התחייבות</t>
        </is>
      </c>
    </row>
    <row r="8">
      <c r="A8" s="5" t="inlineStr">
        <is>
          <t>מע"מ עסקאות</t>
        </is>
      </c>
      <c r="B8" s="5" t="inlineStr">
        <is>
          <t>התחייבות</t>
        </is>
      </c>
    </row>
    <row r="9">
      <c r="A9" s="5" t="inlineStr">
        <is>
          <t>הלוואה מבנק</t>
        </is>
      </c>
      <c r="B9" s="5" t="inlineStr">
        <is>
          <t>התחייבות</t>
        </is>
      </c>
    </row>
    <row r="10">
      <c r="A10" s="5" t="inlineStr">
        <is>
          <t>הון מניות</t>
        </is>
      </c>
      <c r="B10" s="5" t="inlineStr">
        <is>
          <t>הון</t>
        </is>
      </c>
    </row>
    <row r="11">
      <c r="A11" s="5" t="inlineStr">
        <is>
          <t>הכנסות ממכירות</t>
        </is>
      </c>
      <c r="B11" s="5" t="inlineStr">
        <is>
          <t>הכנסה</t>
        </is>
      </c>
    </row>
    <row r="12">
      <c r="A12" s="5" t="inlineStr">
        <is>
          <t>הוצאות שכירות</t>
        </is>
      </c>
      <c r="B12" s="5" t="inlineStr">
        <is>
          <t>הוצאה</t>
        </is>
      </c>
    </row>
    <row r="13">
      <c r="A13" s="5" t="inlineStr">
        <is>
          <t>הוצאות שכר</t>
        </is>
      </c>
      <c r="B13" s="5" t="inlineStr">
        <is>
          <t>הוצאה</t>
        </is>
      </c>
    </row>
    <row r="14">
      <c r="A14" s="5" t="inlineStr">
        <is>
          <t>הוצאות חשמל</t>
        </is>
      </c>
      <c r="B14" s="5" t="inlineStr">
        <is>
          <t>הוצאה</t>
        </is>
      </c>
    </row>
    <row r="15">
      <c r="A15" s="5" t="inlineStr">
        <is>
          <t>הוצאות פרסום</t>
        </is>
      </c>
      <c r="B15" s="5" t="inlineStr">
        <is>
          <t>הוצאה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30" customWidth="1" min="7" max="7"/>
  </cols>
  <sheetData>
    <row r="1">
      <c r="A1" s="4" t="inlineStr">
        <is>
          <t>מס' עסקה</t>
        </is>
      </c>
      <c r="B1" s="4" t="inlineStr">
        <is>
          <t>חשבון</t>
        </is>
      </c>
      <c r="C1" s="4" t="inlineStr">
        <is>
          <t>חובה</t>
        </is>
      </c>
      <c r="D1" s="4" t="inlineStr">
        <is>
          <t>זכות</t>
        </is>
      </c>
      <c r="F1" s="6" t="inlineStr">
        <is>
          <t>מס' עסקה</t>
        </is>
      </c>
      <c r="G1" s="6" t="inlineStr">
        <is>
          <t>בדיקה: חובה פחות זכות (חייב 0)</t>
        </is>
      </c>
    </row>
    <row r="2">
      <c r="A2" s="5" t="n">
        <v>1</v>
      </c>
      <c r="B2" s="5" t="inlineStr">
        <is>
          <t>בנק</t>
        </is>
      </c>
      <c r="C2" s="7" t="n">
        <v>100000</v>
      </c>
      <c r="D2" s="7" t="n"/>
      <c r="F2" t="n">
        <v>1</v>
      </c>
      <c r="G2" s="8">
        <f>SUMIFS($C$2:$C$32,$A$2:$A$32,F2)-SUMIFS($D$2:$D$32,$A$2:$A$32,F2)</f>
        <v/>
      </c>
    </row>
    <row r="3">
      <c r="A3" s="5" t="n">
        <v>1</v>
      </c>
      <c r="B3" s="5" t="inlineStr">
        <is>
          <t>הון מניות</t>
        </is>
      </c>
      <c r="C3" s="7" t="n"/>
      <c r="D3" s="7" t="n">
        <v>100000</v>
      </c>
      <c r="F3" t="n">
        <v>2</v>
      </c>
      <c r="G3" s="8">
        <f>SUMIFS($C$2:$C$32,$A$2:$A$32,F3)-SUMIFS($D$2:$D$32,$A$2:$A$32,F3)</f>
        <v/>
      </c>
    </row>
    <row r="4">
      <c r="A4" s="5" t="n">
        <v>2</v>
      </c>
      <c r="B4" s="5" t="inlineStr">
        <is>
          <t>ציוד (רכוש קבוע)</t>
        </is>
      </c>
      <c r="C4" s="7" t="n">
        <v>30000</v>
      </c>
      <c r="D4" s="7" t="n"/>
      <c r="F4" t="n">
        <v>3</v>
      </c>
      <c r="G4" s="8">
        <f>SUMIFS($C$2:$C$32,$A$2:$A$32,F4)-SUMIFS($D$2:$D$32,$A$2:$A$32,F4)</f>
        <v/>
      </c>
    </row>
    <row r="5">
      <c r="A5" s="5" t="n">
        <v>2</v>
      </c>
      <c r="B5" s="5" t="inlineStr">
        <is>
          <t>מע"מ תשומות</t>
        </is>
      </c>
      <c r="C5" s="7" t="n">
        <v>5400</v>
      </c>
      <c r="D5" s="7" t="n"/>
      <c r="F5" t="n">
        <v>4</v>
      </c>
      <c r="G5" s="8">
        <f>SUMIFS($C$2:$C$32,$A$2:$A$32,F5)-SUMIFS($D$2:$D$32,$A$2:$A$32,F5)</f>
        <v/>
      </c>
    </row>
    <row r="6">
      <c r="A6" s="5" t="n">
        <v>2</v>
      </c>
      <c r="B6" s="5" t="inlineStr">
        <is>
          <t>בנק</t>
        </is>
      </c>
      <c r="C6" s="7" t="n"/>
      <c r="D6" s="7" t="n">
        <v>35400</v>
      </c>
      <c r="F6" t="n">
        <v>5</v>
      </c>
      <c r="G6" s="8">
        <f>SUMIFS($C$2:$C$32,$A$2:$A$32,F6)-SUMIFS($D$2:$D$32,$A$2:$A$32,F6)</f>
        <v/>
      </c>
    </row>
    <row r="7">
      <c r="A7" s="5" t="n">
        <v>3</v>
      </c>
      <c r="B7" s="5" t="inlineStr">
        <is>
          <t>קניות מלאי</t>
        </is>
      </c>
      <c r="C7" s="7" t="n">
        <v>5000</v>
      </c>
      <c r="D7" s="7" t="n"/>
      <c r="F7" t="n">
        <v>6</v>
      </c>
      <c r="G7" s="8">
        <f>SUMIFS($C$2:$C$32,$A$2:$A$32,F7)-SUMIFS($D$2:$D$32,$A$2:$A$32,F7)</f>
        <v/>
      </c>
    </row>
    <row r="8">
      <c r="A8" s="5" t="n">
        <v>3</v>
      </c>
      <c r="B8" s="5" t="inlineStr">
        <is>
          <t>מע"מ תשומות</t>
        </is>
      </c>
      <c r="C8" s="7" t="n">
        <v>900</v>
      </c>
      <c r="D8" s="7" t="n"/>
      <c r="F8" t="n">
        <v>7</v>
      </c>
      <c r="G8" s="8">
        <f>SUMIFS($C$2:$C$32,$A$2:$A$32,F8)-SUMIFS($D$2:$D$32,$A$2:$A$32,F8)</f>
        <v/>
      </c>
    </row>
    <row r="9">
      <c r="A9" s="5" t="n">
        <v>3</v>
      </c>
      <c r="B9" s="5" t="inlineStr">
        <is>
          <t>ספקים</t>
        </is>
      </c>
      <c r="C9" s="7" t="n"/>
      <c r="D9" s="7" t="n">
        <v>5900</v>
      </c>
      <c r="F9" t="n">
        <v>8</v>
      </c>
      <c r="G9" s="8">
        <f>SUMIFS($C$2:$C$32,$A$2:$A$32,F9)-SUMIFS($D$2:$D$32,$A$2:$A$32,F9)</f>
        <v/>
      </c>
    </row>
    <row r="10">
      <c r="A10" s="5" t="n">
        <v>4</v>
      </c>
      <c r="B10" s="5" t="inlineStr">
        <is>
          <t>בנק</t>
        </is>
      </c>
      <c r="C10" s="7" t="n">
        <v>23600</v>
      </c>
      <c r="D10" s="7" t="n"/>
      <c r="F10" t="n">
        <v>9</v>
      </c>
      <c r="G10" s="8">
        <f>SUMIFS($C$2:$C$32,$A$2:$A$32,F10)-SUMIFS($D$2:$D$32,$A$2:$A$32,F10)</f>
        <v/>
      </c>
    </row>
    <row r="11">
      <c r="A11" s="5" t="n">
        <v>4</v>
      </c>
      <c r="B11" s="5" t="inlineStr">
        <is>
          <t>הכנסות ממכירות</t>
        </is>
      </c>
      <c r="C11" s="7" t="n"/>
      <c r="D11" s="7" t="n">
        <v>20000</v>
      </c>
      <c r="F11" t="n">
        <v>10</v>
      </c>
      <c r="G11" s="8">
        <f>SUMIFS($C$2:$C$32,$A$2:$A$32,F11)-SUMIFS($D$2:$D$32,$A$2:$A$32,F11)</f>
        <v/>
      </c>
    </row>
    <row r="12">
      <c r="A12" s="5" t="n">
        <v>4</v>
      </c>
      <c r="B12" s="5" t="inlineStr">
        <is>
          <t>מע"מ עסקאות</t>
        </is>
      </c>
      <c r="C12" s="7" t="n"/>
      <c r="D12" s="7" t="n">
        <v>3600</v>
      </c>
      <c r="F12" t="n">
        <v>11</v>
      </c>
      <c r="G12" s="8">
        <f>SUMIFS($C$2:$C$32,$A$2:$A$32,F12)-SUMIFS($D$2:$D$32,$A$2:$A$32,F12)</f>
        <v/>
      </c>
    </row>
    <row r="13">
      <c r="A13" s="5" t="n">
        <v>5</v>
      </c>
      <c r="B13" s="5" t="inlineStr">
        <is>
          <t>הוצאות שכירות</t>
        </is>
      </c>
      <c r="C13" s="7" t="n">
        <v>8000</v>
      </c>
      <c r="D13" s="7" t="n"/>
      <c r="F13" t="n">
        <v>12</v>
      </c>
      <c r="G13" s="8">
        <f>SUMIFS($C$2:$C$32,$A$2:$A$32,F13)-SUMIFS($D$2:$D$32,$A$2:$A$32,F13)</f>
        <v/>
      </c>
    </row>
    <row r="14">
      <c r="A14" s="5" t="n">
        <v>5</v>
      </c>
      <c r="B14" s="5" t="inlineStr">
        <is>
          <t>מע"מ תשומות</t>
        </is>
      </c>
      <c r="C14" s="7" t="n">
        <v>1440</v>
      </c>
      <c r="D14" s="7" t="n"/>
    </row>
    <row r="15">
      <c r="A15" s="5" t="n">
        <v>5</v>
      </c>
      <c r="B15" s="5" t="inlineStr">
        <is>
          <t>בנק</t>
        </is>
      </c>
      <c r="C15" s="7" t="n"/>
      <c r="D15" s="7" t="n">
        <v>9440</v>
      </c>
    </row>
    <row r="16">
      <c r="A16" s="5" t="n">
        <v>6</v>
      </c>
      <c r="B16" s="5" t="inlineStr">
        <is>
          <t>ספקים</t>
        </is>
      </c>
      <c r="C16" s="7" t="n">
        <v>5900</v>
      </c>
      <c r="D16" s="7" t="n"/>
    </row>
    <row r="17">
      <c r="A17" s="5" t="n">
        <v>6</v>
      </c>
      <c r="B17" s="5" t="inlineStr">
        <is>
          <t>בנק</t>
        </is>
      </c>
      <c r="C17" s="7" t="n"/>
      <c r="D17" s="7" t="n">
        <v>5900</v>
      </c>
    </row>
    <row r="18">
      <c r="A18" s="5" t="n">
        <v>7</v>
      </c>
      <c r="B18" s="5" t="inlineStr">
        <is>
          <t>לקוחות</t>
        </is>
      </c>
      <c r="C18" s="7" t="n">
        <v>11800</v>
      </c>
      <c r="D18" s="7" t="n"/>
    </row>
    <row r="19">
      <c r="A19" s="5" t="n">
        <v>7</v>
      </c>
      <c r="B19" s="5" t="inlineStr">
        <is>
          <t>הכנסות ממכירות</t>
        </is>
      </c>
      <c r="C19" s="7" t="n"/>
      <c r="D19" s="7" t="n">
        <v>10000</v>
      </c>
    </row>
    <row r="20">
      <c r="A20" s="5" t="n">
        <v>7</v>
      </c>
      <c r="B20" s="5" t="inlineStr">
        <is>
          <t>מע"מ עסקאות</t>
        </is>
      </c>
      <c r="C20" s="7" t="n"/>
      <c r="D20" s="7" t="n">
        <v>1800</v>
      </c>
    </row>
    <row r="21">
      <c r="A21" s="5" t="n">
        <v>8</v>
      </c>
      <c r="B21" s="5" t="inlineStr">
        <is>
          <t>בנק</t>
        </is>
      </c>
      <c r="C21" s="7" t="n">
        <v>50000</v>
      </c>
      <c r="D21" s="7" t="n"/>
    </row>
    <row r="22">
      <c r="A22" s="5" t="n">
        <v>8</v>
      </c>
      <c r="B22" s="5" t="inlineStr">
        <is>
          <t>הלוואה מבנק</t>
        </is>
      </c>
      <c r="C22" s="7" t="n"/>
      <c r="D22" s="7" t="n">
        <v>50000</v>
      </c>
    </row>
    <row r="23">
      <c r="A23" s="5" t="n">
        <v>9</v>
      </c>
      <c r="B23" s="5" t="inlineStr">
        <is>
          <t>הוצאות שכר</t>
        </is>
      </c>
      <c r="C23" s="7" t="n">
        <v>12000</v>
      </c>
      <c r="D23" s="7" t="n"/>
    </row>
    <row r="24">
      <c r="A24" s="5" t="n">
        <v>9</v>
      </c>
      <c r="B24" s="5" t="inlineStr">
        <is>
          <t>בנק</t>
        </is>
      </c>
      <c r="C24" s="7" t="n"/>
      <c r="D24" s="7" t="n">
        <v>12000</v>
      </c>
    </row>
    <row r="25">
      <c r="A25" s="5" t="n">
        <v>10</v>
      </c>
      <c r="B25" s="5" t="inlineStr">
        <is>
          <t>הוצאות חשמל</t>
        </is>
      </c>
      <c r="C25" s="7" t="n">
        <v>1000</v>
      </c>
      <c r="D25" s="7" t="n"/>
    </row>
    <row r="26">
      <c r="A26" s="5" t="n">
        <v>10</v>
      </c>
      <c r="B26" s="5" t="inlineStr">
        <is>
          <t>מע"מ תשומות</t>
        </is>
      </c>
      <c r="C26" s="7" t="n">
        <v>180</v>
      </c>
      <c r="D26" s="7" t="n"/>
    </row>
    <row r="27">
      <c r="A27" s="5" t="n">
        <v>10</v>
      </c>
      <c r="B27" s="5" t="inlineStr">
        <is>
          <t>בנק</t>
        </is>
      </c>
      <c r="C27" s="7" t="n"/>
      <c r="D27" s="7" t="n">
        <v>1180</v>
      </c>
    </row>
    <row r="28">
      <c r="A28" s="5" t="n">
        <v>11</v>
      </c>
      <c r="B28" s="5" t="inlineStr">
        <is>
          <t>בנק</t>
        </is>
      </c>
      <c r="C28" s="7" t="n">
        <v>11800</v>
      </c>
      <c r="D28" s="7" t="n"/>
    </row>
    <row r="29">
      <c r="A29" s="5" t="n">
        <v>11</v>
      </c>
      <c r="B29" s="5" t="inlineStr">
        <is>
          <t>לקוחות</t>
        </is>
      </c>
      <c r="C29" s="7" t="n"/>
      <c r="D29" s="7" t="n">
        <v>11800</v>
      </c>
    </row>
    <row r="30">
      <c r="A30" s="5" t="n">
        <v>12</v>
      </c>
      <c r="B30" s="5" t="inlineStr">
        <is>
          <t>הוצאות פרסום</t>
        </is>
      </c>
      <c r="C30" s="7" t="n">
        <v>2000</v>
      </c>
      <c r="D30" s="7" t="n"/>
    </row>
    <row r="31">
      <c r="A31" s="5" t="n">
        <v>12</v>
      </c>
      <c r="B31" s="5" t="inlineStr">
        <is>
          <t>מע"מ תשומות</t>
        </is>
      </c>
      <c r="C31" s="7" t="n">
        <v>360</v>
      </c>
      <c r="D31" s="7" t="n"/>
    </row>
    <row r="32">
      <c r="A32" s="5" t="n">
        <v>12</v>
      </c>
      <c r="B32" s="5" t="inlineStr">
        <is>
          <t>ספקים</t>
        </is>
      </c>
      <c r="C32" s="7" t="n"/>
      <c r="D32" s="7" t="n">
        <v>2360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30" customWidth="1" min="5" max="5"/>
  </cols>
  <sheetData>
    <row r="1">
      <c r="A1" s="4" t="inlineStr">
        <is>
          <t>חשבון</t>
        </is>
      </c>
      <c r="B1" s="4" t="inlineStr">
        <is>
          <t>סוג</t>
        </is>
      </c>
      <c r="C1" s="4" t="inlineStr">
        <is>
          <t>סה"כ חובה</t>
        </is>
      </c>
      <c r="D1" s="4" t="inlineStr">
        <is>
          <t>סה"כ זכות</t>
        </is>
      </c>
      <c r="E1" s="4" t="inlineStr">
        <is>
          <t>יתרה (חובה פלוס / זכות מינוס)</t>
        </is>
      </c>
    </row>
    <row r="2">
      <c r="A2" s="5" t="inlineStr">
        <is>
          <t>בנק</t>
        </is>
      </c>
      <c r="B2" s="5" t="inlineStr">
        <is>
          <t>נכס</t>
        </is>
      </c>
      <c r="C2" s="9">
        <f>SUMIFS('פקודות יומן'!$C:$C,'פקודות יומן'!$B:$B,A2)</f>
        <v/>
      </c>
      <c r="D2" s="9">
        <f>SUMIFS('פקודות יומן'!$D:$D,'פקודות יומן'!$B:$B,A2)</f>
        <v/>
      </c>
      <c r="E2" s="7">
        <f>C2-D2</f>
        <v/>
      </c>
    </row>
    <row r="3">
      <c r="A3" s="5" t="inlineStr">
        <is>
          <t>לקוחות</t>
        </is>
      </c>
      <c r="B3" s="5" t="inlineStr">
        <is>
          <t>נכס</t>
        </is>
      </c>
      <c r="C3" s="9">
        <f>SUMIFS('פקודות יומן'!$C:$C,'פקודות יומן'!$B:$B,A3)</f>
        <v/>
      </c>
      <c r="D3" s="9">
        <f>SUMIFS('פקודות יומן'!$D:$D,'פקודות יומן'!$B:$B,A3)</f>
        <v/>
      </c>
      <c r="E3" s="7">
        <f>C3-D3</f>
        <v/>
      </c>
    </row>
    <row r="4">
      <c r="A4" s="5" t="inlineStr">
        <is>
          <t>קניות מלאי</t>
        </is>
      </c>
      <c r="B4" s="5" t="inlineStr">
        <is>
          <t>הוצאה</t>
        </is>
      </c>
      <c r="C4" s="9">
        <f>SUMIFS('פקודות יומן'!$C:$C,'פקודות יומן'!$B:$B,A4)</f>
        <v/>
      </c>
      <c r="D4" s="9">
        <f>SUMIFS('פקודות יומן'!$D:$D,'פקודות יומן'!$B:$B,A4)</f>
        <v/>
      </c>
      <c r="E4" s="7">
        <f>C4-D4</f>
        <v/>
      </c>
    </row>
    <row r="5">
      <c r="A5" s="5" t="inlineStr">
        <is>
          <t>ציוד (רכוש קבוע)</t>
        </is>
      </c>
      <c r="B5" s="5" t="inlineStr">
        <is>
          <t>נכס</t>
        </is>
      </c>
      <c r="C5" s="9">
        <f>SUMIFS('פקודות יומן'!$C:$C,'פקודות יומן'!$B:$B,A5)</f>
        <v/>
      </c>
      <c r="D5" s="9">
        <f>SUMIFS('פקודות יומן'!$D:$D,'פקודות יומן'!$B:$B,A5)</f>
        <v/>
      </c>
      <c r="E5" s="7">
        <f>C5-D5</f>
        <v/>
      </c>
    </row>
    <row r="6">
      <c r="A6" s="5" t="inlineStr">
        <is>
          <t>מע"מ תשומות</t>
        </is>
      </c>
      <c r="B6" s="5" t="inlineStr">
        <is>
          <t>נכס</t>
        </is>
      </c>
      <c r="C6" s="9">
        <f>SUMIFS('פקודות יומן'!$C:$C,'פקודות יומן'!$B:$B,A6)</f>
        <v/>
      </c>
      <c r="D6" s="9">
        <f>SUMIFS('פקודות יומן'!$D:$D,'פקודות יומן'!$B:$B,A6)</f>
        <v/>
      </c>
      <c r="E6" s="7">
        <f>C6-D6</f>
        <v/>
      </c>
    </row>
    <row r="7">
      <c r="A7" s="5" t="inlineStr">
        <is>
          <t>ספקים</t>
        </is>
      </c>
      <c r="B7" s="5" t="inlineStr">
        <is>
          <t>התחייבות</t>
        </is>
      </c>
      <c r="C7" s="9">
        <f>SUMIFS('פקודות יומן'!$C:$C,'פקודות יומן'!$B:$B,A7)</f>
        <v/>
      </c>
      <c r="D7" s="9">
        <f>SUMIFS('פקודות יומן'!$D:$D,'פקודות יומן'!$B:$B,A7)</f>
        <v/>
      </c>
      <c r="E7" s="7">
        <f>C7-D7</f>
        <v/>
      </c>
    </row>
    <row r="8">
      <c r="A8" s="5" t="inlineStr">
        <is>
          <t>מע"מ עסקאות</t>
        </is>
      </c>
      <c r="B8" s="5" t="inlineStr">
        <is>
          <t>התחייבות</t>
        </is>
      </c>
      <c r="C8" s="9">
        <f>SUMIFS('פקודות יומן'!$C:$C,'פקודות יומן'!$B:$B,A8)</f>
        <v/>
      </c>
      <c r="D8" s="9">
        <f>SUMIFS('פקודות יומן'!$D:$D,'פקודות יומן'!$B:$B,A8)</f>
        <v/>
      </c>
      <c r="E8" s="7">
        <f>C8-D8</f>
        <v/>
      </c>
    </row>
    <row r="9">
      <c r="A9" s="5" t="inlineStr">
        <is>
          <t>הלוואה מבנק</t>
        </is>
      </c>
      <c r="B9" s="5" t="inlineStr">
        <is>
          <t>התחייבות</t>
        </is>
      </c>
      <c r="C9" s="9">
        <f>SUMIFS('פקודות יומן'!$C:$C,'פקודות יומן'!$B:$B,A9)</f>
        <v/>
      </c>
      <c r="D9" s="9">
        <f>SUMIFS('פקודות יומן'!$D:$D,'פקודות יומן'!$B:$B,A9)</f>
        <v/>
      </c>
      <c r="E9" s="7">
        <f>C9-D9</f>
        <v/>
      </c>
    </row>
    <row r="10">
      <c r="A10" s="5" t="inlineStr">
        <is>
          <t>הון מניות</t>
        </is>
      </c>
      <c r="B10" s="5" t="inlineStr">
        <is>
          <t>הון</t>
        </is>
      </c>
      <c r="C10" s="9">
        <f>SUMIFS('פקודות יומן'!$C:$C,'פקודות יומן'!$B:$B,A10)</f>
        <v/>
      </c>
      <c r="D10" s="9">
        <f>SUMIFS('פקודות יומן'!$D:$D,'פקודות יומן'!$B:$B,A10)</f>
        <v/>
      </c>
      <c r="E10" s="7">
        <f>C10-D10</f>
        <v/>
      </c>
    </row>
    <row r="11">
      <c r="A11" s="5" t="inlineStr">
        <is>
          <t>הכנסות ממכירות</t>
        </is>
      </c>
      <c r="B11" s="5" t="inlineStr">
        <is>
          <t>הכנסה</t>
        </is>
      </c>
      <c r="C11" s="9">
        <f>SUMIFS('פקודות יומן'!$C:$C,'פקודות יומן'!$B:$B,A11)</f>
        <v/>
      </c>
      <c r="D11" s="9">
        <f>SUMIFS('פקודות יומן'!$D:$D,'פקודות יומן'!$B:$B,A11)</f>
        <v/>
      </c>
      <c r="E11" s="7">
        <f>C11-D11</f>
        <v/>
      </c>
    </row>
    <row r="12">
      <c r="A12" s="5" t="inlineStr">
        <is>
          <t>הוצאות שכירות</t>
        </is>
      </c>
      <c r="B12" s="5" t="inlineStr">
        <is>
          <t>הוצאה</t>
        </is>
      </c>
      <c r="C12" s="9">
        <f>SUMIFS('פקודות יומן'!$C:$C,'פקודות יומן'!$B:$B,A12)</f>
        <v/>
      </c>
      <c r="D12" s="9">
        <f>SUMIFS('פקודות יומן'!$D:$D,'פקודות יומן'!$B:$B,A12)</f>
        <v/>
      </c>
      <c r="E12" s="7">
        <f>C12-D12</f>
        <v/>
      </c>
    </row>
    <row r="13">
      <c r="A13" s="5" t="inlineStr">
        <is>
          <t>הוצאות שכר</t>
        </is>
      </c>
      <c r="B13" s="5" t="inlineStr">
        <is>
          <t>הוצאה</t>
        </is>
      </c>
      <c r="C13" s="9">
        <f>SUMIFS('פקודות יומן'!$C:$C,'פקודות יומן'!$B:$B,A13)</f>
        <v/>
      </c>
      <c r="D13" s="9">
        <f>SUMIFS('פקודות יומן'!$D:$D,'פקודות יומן'!$B:$B,A13)</f>
        <v/>
      </c>
      <c r="E13" s="7">
        <f>C13-D13</f>
        <v/>
      </c>
    </row>
    <row r="14">
      <c r="A14" s="5" t="inlineStr">
        <is>
          <t>הוצאות חשמל</t>
        </is>
      </c>
      <c r="B14" s="5" t="inlineStr">
        <is>
          <t>הוצאה</t>
        </is>
      </c>
      <c r="C14" s="9">
        <f>SUMIFS('פקודות יומן'!$C:$C,'פקודות יומן'!$B:$B,A14)</f>
        <v/>
      </c>
      <c r="D14" s="9">
        <f>SUMIFS('פקודות יומן'!$D:$D,'פקודות יומן'!$B:$B,A14)</f>
        <v/>
      </c>
      <c r="E14" s="7">
        <f>C14-D14</f>
        <v/>
      </c>
    </row>
    <row r="15">
      <c r="A15" s="5" t="inlineStr">
        <is>
          <t>הוצאות פרסום</t>
        </is>
      </c>
      <c r="B15" s="5" t="inlineStr">
        <is>
          <t>הוצאה</t>
        </is>
      </c>
      <c r="C15" s="9">
        <f>SUMIFS('פקודות יומן'!$C:$C,'פקודות יומן'!$B:$B,A15)</f>
        <v/>
      </c>
      <c r="D15" s="9">
        <f>SUMIFS('פקודות יומן'!$D:$D,'פקודות יומן'!$B:$B,A15)</f>
        <v/>
      </c>
      <c r="E15" s="7">
        <f>C15-D15</f>
        <v/>
      </c>
    </row>
    <row r="16">
      <c r="A16" s="6" t="inlineStr">
        <is>
          <t>סה"כ</t>
        </is>
      </c>
      <c r="C16" s="10">
        <f>SUM(C2:C15)</f>
        <v/>
      </c>
      <c r="D16" s="10">
        <f>SUM(D2:D15)</f>
        <v/>
      </c>
      <c r="E16" s="10">
        <f>SUM(E2:E15)</f>
        <v/>
      </c>
    </row>
    <row r="18">
      <c r="A18" t="inlineStr">
        <is>
          <t>אם תא E האחרון מראה 0, המאזן מאוזן. כל הכבוד!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2026-09-29T23:18:46Z</dcterms:created>
  <dcterms:modified xsi:type="dcterms:W3CDTF">2026-09-29T23:18:46Z</dcterms:modified>
</cp:coreProperties>
</file>