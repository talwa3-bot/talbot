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תיקונים מוצעים" sheetId="2" state="visible" r:id="rId2"/>
    <sheet name="PBC" sheetId="3" state="visible" r:id="rId3"/>
    <sheet name="שאל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6" fontId="0" fillId="0" borderId="1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  <xf numFmtId="1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שני המסלולים | שלב 7 | הצד השני של הביקורת</t>
        </is>
      </c>
    </row>
    <row r="3">
      <c r="A3" s="2" t="inlineStr">
        <is>
          <t>הסיפור: שבוע לפני חתימת הדוחות. המבקרים שלחו רשימת תיקונים מוצעים. את יודעת בדיוק איך הם חושבים, כי היית שם.</t>
        </is>
      </c>
    </row>
    <row r="4">
      <c r="A4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5">
      <c r="A5" s="2" t="inlineStr">
        <is>
          <t>טיפ ADHD: משימה אחת בכל פעם. כל גיליון הוא משימה של 15 עד 25 דקות. סיימת גיליון? קומי, מים, ואז הבא.</t>
        </is>
      </c>
    </row>
    <row r="6">
      <c r="A6" s="2" t="inlineStr"/>
    </row>
    <row r="7">
      <c r="A7" s="3" t="inlineStr">
        <is>
          <t>משימה 1 ("מהותיות"): רווח לפני מס 42,000,000. מהותיות כוללת 5%. מהותיות לביצוע 75% ממנה. זניח בעליל 5% מהמהותיות.</t>
        </is>
      </c>
    </row>
    <row r="8">
      <c r="A8" s="3" t="inlineStr">
        <is>
          <t>משימה 2 ("תיקונים מוצעים"): סמני אילו מעל סף הזניח. סכמי את ההשפעה. החליטי מה לרשום עכשיו.</t>
        </is>
      </c>
    </row>
    <row r="9">
      <c r="A9" s="2" t="inlineStr">
        <is>
          <t xml:space="preserve">   אסטרטגיה סבירה: לרשום את כל התיקונים העובדתיים. להשאיר שיקול דעת והקרנה רק אם היתרה נמוכה ממהותיות הביצוע.</t>
        </is>
      </c>
    </row>
    <row r="10">
      <c r="A10" s="3" t="inlineStr">
        <is>
          <t>משימה 3 ("PBC"): היום 10.2.2026. כמה פריטים באיחור? מה עושים?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תיקון מוצע</t>
        </is>
      </c>
      <c r="B1" s="4" t="inlineStr">
        <is>
          <t>השפעה על הרווח ₪</t>
        </is>
      </c>
      <c r="C1" s="4" t="inlineStr">
        <is>
          <t>סוג</t>
        </is>
      </c>
      <c r="D1" s="4" t="inlineStr">
        <is>
          <t>מעל זניח?</t>
        </is>
      </c>
      <c r="E1" s="4" t="inlineStr">
        <is>
          <t>החלטה</t>
        </is>
      </c>
    </row>
    <row r="2">
      <c r="A2" s="5" t="inlineStr">
        <is>
          <t>חיתוך הכנסות: משלוח 2.1 נרשם בדצמבר</t>
        </is>
      </c>
      <c r="B2" s="6" t="n">
        <v>-380000</v>
      </c>
      <c r="C2" s="5" t="inlineStr">
        <is>
          <t>עובדתית</t>
        </is>
      </c>
      <c r="D2" s="7" t="n"/>
      <c r="E2" s="7" t="n"/>
    </row>
    <row r="3">
      <c r="A3" s="5" t="inlineStr">
        <is>
          <t>הפרשה לבונוסים חסרה</t>
        </is>
      </c>
      <c r="B3" s="6" t="n">
        <v>-520000</v>
      </c>
      <c r="C3" s="5" t="inlineStr">
        <is>
          <t>עובדתית</t>
        </is>
      </c>
      <c r="D3" s="7" t="n"/>
      <c r="E3" s="7" t="n"/>
    </row>
    <row r="4">
      <c r="A4" s="5" t="inlineStr">
        <is>
          <t>ירידת ערך מלאי: הערכה שונה</t>
        </is>
      </c>
      <c r="B4" s="6" t="n">
        <v>-240000</v>
      </c>
      <c r="C4" s="5" t="inlineStr">
        <is>
          <t>שיקול דעת</t>
        </is>
      </c>
      <c r="D4" s="7" t="n"/>
      <c r="E4" s="7" t="n"/>
    </row>
    <row r="5">
      <c r="A5" s="5" t="inlineStr">
        <is>
          <t>הוצאה מראש שנרשמה כהוצאה</t>
        </is>
      </c>
      <c r="B5" s="6" t="n">
        <v>90000</v>
      </c>
      <c r="C5" s="5" t="inlineStr">
        <is>
          <t>עובדתית</t>
        </is>
      </c>
      <c r="D5" s="7" t="n"/>
      <c r="E5" s="7" t="n"/>
    </row>
    <row r="6">
      <c r="A6" s="5" t="inlineStr">
        <is>
          <t>שערוך מט"ח: שער שגוי</t>
        </is>
      </c>
      <c r="B6" s="6" t="n">
        <v>-60000</v>
      </c>
      <c r="C6" s="5" t="inlineStr">
        <is>
          <t>עובדתית</t>
        </is>
      </c>
      <c r="D6" s="7" t="n"/>
      <c r="E6" s="7" t="n"/>
    </row>
    <row r="7">
      <c r="A7" s="5" t="inlineStr">
        <is>
          <t>הקרנה ממדגם ספקים</t>
        </is>
      </c>
      <c r="B7" s="6" t="n">
        <v>-410000</v>
      </c>
      <c r="C7" s="5" t="inlineStr">
        <is>
          <t>הקרנה</t>
        </is>
      </c>
      <c r="D7" s="7" t="n"/>
      <c r="E7" s="7" t="n"/>
    </row>
    <row r="8">
      <c r="A8" s="5" t="inlineStr">
        <is>
          <t>סיווג חכירה (מאזני בלבד)</t>
        </is>
      </c>
      <c r="B8" s="6" t="n">
        <v>0</v>
      </c>
      <c r="C8" s="5" t="inlineStr">
        <is>
          <t>עובדתית</t>
        </is>
      </c>
      <c r="D8" s="7" t="n"/>
      <c r="E8" s="7" t="n"/>
    </row>
    <row r="9">
      <c r="A9" s="5" t="inlineStr">
        <is>
          <t>הפרשה לתביעה: אומדן שונה</t>
        </is>
      </c>
      <c r="B9" s="6" t="n">
        <v>-300000</v>
      </c>
      <c r="C9" s="5" t="inlineStr">
        <is>
          <t>שיקול דעת</t>
        </is>
      </c>
      <c r="D9" s="7" t="n"/>
      <c r="E9" s="7" t="n"/>
    </row>
    <row r="10">
      <c r="A10" s="5" t="inlineStr">
        <is>
          <t>היוון פיתוח שלא עומד בתנאים</t>
        </is>
      </c>
      <c r="B10" s="6" t="n">
        <v>-150000</v>
      </c>
      <c r="C10" s="5" t="inlineStr">
        <is>
          <t>עובדתית</t>
        </is>
      </c>
      <c r="D10" s="7" t="n"/>
      <c r="E10" s="7" t="n"/>
    </row>
    <row r="11">
      <c r="A11" s="5" t="inlineStr">
        <is>
          <t>תחילת פחת מאוחרת</t>
        </is>
      </c>
      <c r="B11" s="6" t="n">
        <v>45000</v>
      </c>
      <c r="C11" s="5" t="inlineStr">
        <is>
          <t>עובדתית</t>
        </is>
      </c>
      <c r="D11" s="7" t="n"/>
      <c r="E1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פריט</t>
        </is>
      </c>
      <c r="B1" s="4" t="inlineStr">
        <is>
          <t>תאריך יעד</t>
        </is>
      </c>
      <c r="C1" s="4" t="inlineStr">
        <is>
          <t>סטטוס</t>
        </is>
      </c>
      <c r="D1" s="4" t="inlineStr">
        <is>
          <t>באיחור?</t>
        </is>
      </c>
    </row>
    <row r="2">
      <c r="A2" s="5" t="inlineStr">
        <is>
          <t>מאזן בוחן סופי</t>
        </is>
      </c>
      <c r="B2" s="8" t="n">
        <v>46042</v>
      </c>
      <c r="C2" s="5" t="inlineStr">
        <is>
          <t>בעבודה</t>
        </is>
      </c>
      <c r="D2" s="7" t="n"/>
    </row>
    <row r="3">
      <c r="A3" s="5" t="inlineStr">
        <is>
          <t>התאמות בנק</t>
        </is>
      </c>
      <c r="B3" s="8" t="n">
        <v>46045</v>
      </c>
      <c r="C3" s="5" t="inlineStr">
        <is>
          <t>בעבודה</t>
        </is>
      </c>
      <c r="D3" s="7" t="n"/>
    </row>
    <row r="4">
      <c r="A4" s="5" t="inlineStr">
        <is>
          <t>גיול לקוחות</t>
        </is>
      </c>
      <c r="B4" s="8" t="n">
        <v>46048</v>
      </c>
      <c r="C4" s="5" t="inlineStr">
        <is>
          <t>נמסר</t>
        </is>
      </c>
      <c r="D4" s="7" t="n"/>
    </row>
    <row r="5">
      <c r="A5" s="5" t="inlineStr">
        <is>
          <t>ספירת מלאי</t>
        </is>
      </c>
      <c r="B5" s="8" t="n">
        <v>46051</v>
      </c>
      <c r="C5" s="5" t="inlineStr">
        <is>
          <t>נמסר</t>
        </is>
      </c>
      <c r="D5" s="7" t="n"/>
    </row>
    <row r="6">
      <c r="A6" s="5" t="inlineStr">
        <is>
          <t>גלגול רכוש קבוע</t>
        </is>
      </c>
      <c r="B6" s="8" t="n">
        <v>46054</v>
      </c>
      <c r="C6" s="5" t="inlineStr">
        <is>
          <t>נמסר</t>
        </is>
      </c>
      <c r="D6" s="7" t="n"/>
    </row>
    <row r="7">
      <c r="A7" s="5" t="inlineStr">
        <is>
          <t>חוזי חכירה</t>
        </is>
      </c>
      <c r="B7" s="8" t="n">
        <v>46057</v>
      </c>
      <c r="C7" s="5" t="inlineStr">
        <is>
          <t>נמסר</t>
        </is>
      </c>
      <c r="D7" s="7" t="n"/>
    </row>
    <row r="8">
      <c r="A8" s="5" t="inlineStr">
        <is>
          <t>אישורי יתרות בנקים</t>
        </is>
      </c>
      <c r="B8" s="8" t="n">
        <v>46060</v>
      </c>
      <c r="C8" s="5" t="inlineStr">
        <is>
          <t>בעבודה</t>
        </is>
      </c>
      <c r="D8" s="7" t="n"/>
    </row>
    <row r="9">
      <c r="A9" s="5" t="inlineStr">
        <is>
          <t>התאמות בין-חברתיות</t>
        </is>
      </c>
      <c r="B9" s="8" t="n">
        <v>46063</v>
      </c>
      <c r="C9" s="5" t="inlineStr">
        <is>
          <t>לא התחיל</t>
        </is>
      </c>
      <c r="D9" s="7" t="n"/>
    </row>
    <row r="10">
      <c r="A10" s="5" t="inlineStr">
        <is>
          <t>חישוב מס שוטף ונדחה</t>
        </is>
      </c>
      <c r="B10" s="8" t="n">
        <v>46066</v>
      </c>
      <c r="C10" s="5" t="inlineStr">
        <is>
          <t>נמסר</t>
        </is>
      </c>
      <c r="D10" s="7" t="n"/>
    </row>
    <row r="11">
      <c r="A11" s="5" t="inlineStr">
        <is>
          <t>פרוטוקולי דירקטוריון</t>
        </is>
      </c>
      <c r="B11" s="8" t="n">
        <v>46069</v>
      </c>
      <c r="C11" s="5" t="inlineStr">
        <is>
          <t>נמסר</t>
        </is>
      </c>
      <c r="D11" s="7" t="n"/>
    </row>
    <row r="12">
      <c r="A12" s="5" t="inlineStr">
        <is>
          <t>חוזי לקוחות מהותיים</t>
        </is>
      </c>
      <c r="B12" s="8" t="n">
        <v>46072</v>
      </c>
      <c r="C12" s="5" t="inlineStr">
        <is>
          <t>נמסר</t>
        </is>
      </c>
      <c r="D12" s="7" t="n"/>
    </row>
    <row r="13">
      <c r="A13" s="5" t="inlineStr">
        <is>
          <t>הפרשות משפטיות</t>
        </is>
      </c>
      <c r="B13" s="8" t="n">
        <v>46075</v>
      </c>
      <c r="C13" s="5" t="inlineStr">
        <is>
          <t>בעבודה</t>
        </is>
      </c>
      <c r="D13" s="7" t="n"/>
    </row>
    <row r="14">
      <c r="A14" s="5" t="inlineStr">
        <is>
          <t>חישוב תגמול מבוסס מניות</t>
        </is>
      </c>
      <c r="B14" s="8" t="n">
        <v>46078</v>
      </c>
      <c r="C14" s="5" t="inlineStr">
        <is>
          <t>נמסר</t>
        </is>
      </c>
      <c r="D14" s="7" t="n"/>
    </row>
    <row r="15">
      <c r="A15" s="5" t="inlineStr">
        <is>
          <t>גלגול הכנסות נדחות</t>
        </is>
      </c>
      <c r="B15" s="8" t="n">
        <v>46081</v>
      </c>
      <c r="C15" s="5" t="inlineStr">
        <is>
          <t>לא התחיל</t>
        </is>
      </c>
      <c r="D15" s="7" t="n"/>
    </row>
    <row r="16">
      <c r="A16" s="5" t="inlineStr">
        <is>
          <t>רשימת עסקאות עם צדדים קשורים</t>
        </is>
      </c>
      <c r="B16" s="8" t="n">
        <v>46084</v>
      </c>
      <c r="C16" s="5" t="inlineStr">
        <is>
          <t>נמסר</t>
        </is>
      </c>
      <c r="D16" s="7" t="n"/>
    </row>
    <row r="17">
      <c r="A17" s="5" t="inlineStr">
        <is>
          <t>מדגם חשבוניות ספקים</t>
        </is>
      </c>
      <c r="B17" s="8" t="n">
        <v>46087</v>
      </c>
      <c r="C17" s="5" t="inlineStr">
        <is>
          <t>נמסר</t>
        </is>
      </c>
      <c r="D17" s="7" t="n"/>
    </row>
    <row r="18">
      <c r="A18" s="5" t="inlineStr">
        <is>
          <t>הערכת ירידת ערך מוניטין</t>
        </is>
      </c>
      <c r="B18" s="8" t="n">
        <v>46090</v>
      </c>
      <c r="C18" s="5" t="inlineStr">
        <is>
          <t>לא התחיל</t>
        </is>
      </c>
      <c r="D18" s="7" t="n"/>
    </row>
    <row r="19">
      <c r="A19" s="5" t="inlineStr">
        <is>
          <t>טיוטת ביאורים</t>
        </is>
      </c>
      <c r="B19" s="8" t="n">
        <v>46093</v>
      </c>
      <c r="C19" s="5" t="inlineStr">
        <is>
          <t>נמסר</t>
        </is>
      </c>
      <c r="D19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9" t="inlineStr">
        <is>
          <t>שאלה</t>
        </is>
      </c>
      <c r="B1" s="9" t="inlineStr">
        <is>
          <t>התשובה שלך</t>
        </is>
      </c>
      <c r="C1" s="9" t="inlineStr">
        <is>
          <t>בדיקה</t>
        </is>
      </c>
    </row>
    <row r="2">
      <c r="A2" s="2" t="inlineStr">
        <is>
          <t>מהותיות כוללת ₪</t>
        </is>
      </c>
      <c r="B2" s="10" t="n"/>
      <c r="C2" s="11">
        <f>IF(B2="","",IF(ABS(B2-(2100000.0))&lt;=1.0,"✓ נכון","✗ עוד לא"))</f>
        <v/>
      </c>
    </row>
    <row r="3">
      <c r="A3" s="2" t="inlineStr">
        <is>
          <t>מהותיות לביצוע ₪</t>
        </is>
      </c>
      <c r="B3" s="10" t="n"/>
      <c r="C3" s="11">
        <f>IF(B3="","",IF(ABS(B3-(1575000.0))&lt;=1.0,"✓ נכון","✗ עוד לא"))</f>
        <v/>
      </c>
    </row>
    <row r="4">
      <c r="A4" s="2" t="inlineStr">
        <is>
          <t>סף זניח בעליל ₪</t>
        </is>
      </c>
      <c r="B4" s="10" t="n"/>
      <c r="C4" s="11">
        <f>IF(B4="","",IF(ABS(B4-(105000.0))&lt;=1.0,"✓ נכון","✗ עוד לא"))</f>
        <v/>
      </c>
    </row>
    <row r="5">
      <c r="A5" s="2" t="inlineStr">
        <is>
          <t>סך השפעת התיקונים מעל הזניח ₪ (במינוס אם מקטין רווח)</t>
        </is>
      </c>
      <c r="B5" s="10" t="n"/>
      <c r="C5" s="11">
        <f>IF(B5="","",IF(ABS(B5-(-2000000))&lt;=1.0,"✓ נכון","✗ עוד לא"))</f>
        <v/>
      </c>
    </row>
    <row r="6">
      <c r="A6" s="2" t="inlineStr">
        <is>
          <t>השפעת התיקונים העובדתיים שנרשום ₪</t>
        </is>
      </c>
      <c r="B6" s="10" t="n"/>
      <c r="C6" s="11">
        <f>IF(B6="","",IF(ABS(B6-(-1050000))&lt;=1.0,"✓ נכון","✗ עוד לא"))</f>
        <v/>
      </c>
    </row>
    <row r="7">
      <c r="A7" s="2" t="inlineStr">
        <is>
          <t>יתרת תיקונים לא מתוקנים אחרי הרישום ₪</t>
        </is>
      </c>
      <c r="B7" s="10" t="n"/>
      <c r="C7" s="11">
        <f>IF(B7="","",IF(ABS(B7-(-950000))&lt;=1.0,"✓ נכון","✗ עוד לא"))</f>
        <v/>
      </c>
    </row>
    <row r="8">
      <c r="A8" s="2" t="inlineStr">
        <is>
          <t>כמה פריטי PBC באיחור?</t>
        </is>
      </c>
      <c r="B8" s="12" t="n"/>
      <c r="C8" s="11">
        <f>IF(B8="","",IF(ABS(B8-(3))&lt;=0.1,"✓ נכון","✗ עוד לא"))</f>
        <v/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