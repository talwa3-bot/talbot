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לאי מוגמר" sheetId="2" state="visible" r:id="rId2"/>
    <sheet name="חומרי גלם" sheetId="3" state="visible" r:id="rId3"/>
    <sheet name="הקמה" sheetId="4" state="visible" r:id="rId4"/>
    <sheet name="מט&quot;ח" sheetId="5" state="visible" r:id="rId5"/>
    <sheet name="שאל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#,##0.00;[Red]-#,##0.00"/>
    <numFmt numFmtId="166" formatCode="yyyy-mm-dd"/>
    <numFmt numFmtId="167" formatCode="dd/mm/yyyy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  <xf numFmtId="167" fontId="0" fillId="0" borderId="1" pivotButton="0" quotePrefix="0" xfId="0"/>
    <xf numFmtId="0" fontId="0" fillId="3" borderId="1" pivotButton="0" quotePrefix="0" xfId="0"/>
    <xf numFmtId="168" fontId="0" fillId="3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2 | הובלת סגירת יוני 2026 | גלבוע תעשיות בע"מ (ת"א, IFRS)</t>
        </is>
      </c>
    </row>
    <row r="3">
      <c r="A3" s="2" t="inlineStr">
        <is>
          <t>הסיפור: את החשבת החדשה של יצרנית אריזות ציבורית. רבעון 2 נסגר, והדוחות לבורסה צריכים לצאת בזמן.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3" t="inlineStr">
        <is>
          <t>משימה 1 ("מלאי מוגמר"): ירידת ערך לשווי מימוש נטו (IAS 2). שווי מימוש נטו = מחיר מכירה פחות עלויות מכירה.</t>
        </is>
      </c>
    </row>
    <row r="8">
      <c r="A8" s="3" t="inlineStr">
        <is>
          <t>משימה 2 ("חומרי גלם"): מדיניות מלאי איטי: אין תנועה יותר מ-12 חודשים: הפרשה 50%. יותר מ-24 חודשים: 100%.</t>
        </is>
      </c>
    </row>
    <row r="9">
      <c r="A9" s="2" t="inlineStr">
        <is>
          <t xml:space="preserve">   שימי לב לגבולות: 12 חודשים בדיוק זה לא "יותר מ-12".</t>
        </is>
      </c>
    </row>
    <row r="10">
      <c r="A10" s="3" t="inlineStr">
        <is>
          <t>משימה 3 ("הקמה"): קו ייצור 4 זמין לשימוש מ-15.6.2026. אילו עלויות מהוונים לרכוש קבוע לפי IAS 16?</t>
        </is>
      </c>
    </row>
    <row r="11">
      <c r="A11" s="2" t="inlineStr">
        <is>
          <t xml:space="preserve">   מדיניות החברה: פחת מתחיל מהחודש שאחרי הזמינות לשימוש.</t>
        </is>
      </c>
    </row>
    <row r="12">
      <c r="A12" s="3" t="inlineStr">
        <is>
          <t>משימה 4 ("מט"ח"): שערוך יתרות באירו. שער 31.5: 4.05. שער 30.6: 4.12 (שקל לאירו).</t>
        </is>
      </c>
    </row>
    <row r="13">
      <c r="A13" s="3" t="inlineStr">
        <is>
          <t>משימה 5 ("אנרגיה"): הפרשה לחשמל: קריאת מונה 1,480,000 קוט"ש, תעריף 0.62 ₪. החשבונית תגיע באוגוסט.</t>
        </is>
      </c>
    </row>
    <row r="14">
      <c r="A14" s="3" t="inlineStr">
        <is>
          <t>משימה 6 ("שאלות"): ענו. כל תשובה נבדקת מיד.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4" t="inlineStr">
        <is>
          <t>מק"ט</t>
        </is>
      </c>
      <c r="B1" s="4" t="inlineStr">
        <is>
          <t>תיאור</t>
        </is>
      </c>
      <c r="C1" s="4" t="inlineStr">
        <is>
          <t>כמות</t>
        </is>
      </c>
      <c r="D1" s="4" t="inlineStr">
        <is>
          <t>עלות ליחידה ₪</t>
        </is>
      </c>
      <c r="E1" s="4" t="inlineStr">
        <is>
          <t>מחיר מכירה ₪</t>
        </is>
      </c>
      <c r="F1" s="4" t="inlineStr">
        <is>
          <t>עלויות מכירה ₪</t>
        </is>
      </c>
      <c r="G1" s="4" t="inlineStr">
        <is>
          <t>שווי מימוש נטו ₪</t>
        </is>
      </c>
      <c r="H1" s="4" t="inlineStr">
        <is>
          <t>ירידת ערך ₪</t>
        </is>
      </c>
    </row>
    <row r="2">
      <c r="A2" s="5" t="inlineStr">
        <is>
          <t>FG-01</t>
        </is>
      </c>
      <c r="B2" s="5" t="inlineStr">
        <is>
          <t>קופסאות קרטון 30x40</t>
        </is>
      </c>
      <c r="C2" s="6" t="n">
        <v>12000</v>
      </c>
      <c r="D2" s="7" t="n">
        <v>4.2</v>
      </c>
      <c r="E2" s="7" t="n">
        <v>6.5</v>
      </c>
      <c r="F2" s="7" t="n">
        <v>0.4</v>
      </c>
      <c r="G2" s="8" t="n"/>
      <c r="H2" s="9" t="n"/>
    </row>
    <row r="3">
      <c r="A3" s="5" t="inlineStr">
        <is>
          <t>FG-02</t>
        </is>
      </c>
      <c r="B3" s="5" t="inlineStr">
        <is>
          <t>מגשי פלסטיק למזון</t>
        </is>
      </c>
      <c r="C3" s="6" t="n">
        <v>8000</v>
      </c>
      <c r="D3" s="7" t="n">
        <v>7.8</v>
      </c>
      <c r="E3" s="7" t="n">
        <v>7.5</v>
      </c>
      <c r="F3" s="7" t="n">
        <v>0.6</v>
      </c>
      <c r="G3" s="8" t="n"/>
      <c r="H3" s="9" t="n"/>
    </row>
    <row r="4">
      <c r="A4" s="5" t="inlineStr">
        <is>
          <t>FG-03</t>
        </is>
      </c>
      <c r="B4" s="5" t="inlineStr">
        <is>
          <t>אריזות מזון מודפסות</t>
        </is>
      </c>
      <c r="C4" s="6" t="n">
        <v>25000</v>
      </c>
      <c r="D4" s="7" t="n">
        <v>1.9</v>
      </c>
      <c r="E4" s="7" t="n">
        <v>2.8</v>
      </c>
      <c r="F4" s="7" t="n">
        <v>0.2</v>
      </c>
      <c r="G4" s="8" t="n"/>
      <c r="H4" s="9" t="n"/>
    </row>
    <row r="5">
      <c r="A5" s="5" t="inlineStr">
        <is>
          <t>FG-04</t>
        </is>
      </c>
      <c r="B5" s="5" t="inlineStr">
        <is>
          <t>משטחי אריזה תעשייתיים</t>
        </is>
      </c>
      <c r="C5" s="6" t="n">
        <v>1500</v>
      </c>
      <c r="D5" s="7" t="n">
        <v>64</v>
      </c>
      <c r="E5" s="7" t="n">
        <v>58</v>
      </c>
      <c r="F5" s="7" t="n">
        <v>5</v>
      </c>
      <c r="G5" s="8" t="n"/>
      <c r="H5" s="9" t="n"/>
    </row>
    <row r="6">
      <c r="A6" s="5" t="inlineStr">
        <is>
          <t>FG-05</t>
        </is>
      </c>
      <c r="B6" s="5" t="inlineStr">
        <is>
          <t>שקיות ממוחזרות</t>
        </is>
      </c>
      <c r="C6" s="6" t="n">
        <v>40000</v>
      </c>
      <c r="D6" s="7" t="n">
        <v>0.55</v>
      </c>
      <c r="E6" s="7" t="n">
        <v>0.62</v>
      </c>
      <c r="F6" s="7" t="n">
        <v>0.1</v>
      </c>
      <c r="G6" s="8" t="n"/>
      <c r="H6" s="9" t="n"/>
    </row>
    <row r="7">
      <c r="H7" s="10">
        <f>SUM(H2:H6)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4" t="inlineStr">
        <is>
          <t>מק"ט</t>
        </is>
      </c>
      <c r="B1" s="4" t="inlineStr">
        <is>
          <t>תיאור</t>
        </is>
      </c>
      <c r="C1" s="4" t="inlineStr">
        <is>
          <t>כמות</t>
        </is>
      </c>
      <c r="D1" s="4" t="inlineStr">
        <is>
          <t>עלות ליחידה ₪</t>
        </is>
      </c>
      <c r="E1" s="4" t="inlineStr">
        <is>
          <t>תנועה אחרונה</t>
        </is>
      </c>
      <c r="F1" s="4" t="inlineStr">
        <is>
          <t>חודשים בלי תנועה</t>
        </is>
      </c>
      <c r="G1" s="4" t="inlineStr">
        <is>
          <t>שיעור הפרשה</t>
        </is>
      </c>
      <c r="H1" s="4" t="inlineStr">
        <is>
          <t>הפרשה ₪</t>
        </is>
      </c>
    </row>
    <row r="2">
      <c r="A2" s="5" t="inlineStr">
        <is>
          <t>RM-01</t>
        </is>
      </c>
      <c r="B2" s="5" t="inlineStr">
        <is>
          <t>גליל קרטון (טון)</t>
        </is>
      </c>
      <c r="C2" s="6" t="n">
        <v>180</v>
      </c>
      <c r="D2" s="6" t="n">
        <v>3200</v>
      </c>
      <c r="E2" s="11" t="n">
        <v>46143</v>
      </c>
      <c r="F2" s="12" t="n"/>
      <c r="G2" s="13" t="n"/>
      <c r="H2" s="9" t="n"/>
    </row>
    <row r="3">
      <c r="A3" s="5" t="inlineStr">
        <is>
          <t>RM-02</t>
        </is>
      </c>
      <c r="B3" s="5" t="inlineStr">
        <is>
          <t>גרגרי פוליאתילן (טון)</t>
        </is>
      </c>
      <c r="C3" s="6" t="n">
        <v>45</v>
      </c>
      <c r="D3" s="6" t="n">
        <v>7400</v>
      </c>
      <c r="E3" s="11" t="n">
        <v>45717</v>
      </c>
      <c r="F3" s="12" t="n"/>
      <c r="G3" s="13" t="n"/>
      <c r="H3" s="9" t="n"/>
    </row>
    <row r="4">
      <c r="A4" s="5" t="inlineStr">
        <is>
          <t>RM-03</t>
        </is>
      </c>
      <c r="B4" s="5" t="inlineStr">
        <is>
          <t>דיו למזון (ליטר)</t>
        </is>
      </c>
      <c r="C4" s="6" t="n">
        <v>1200</v>
      </c>
      <c r="D4" s="6" t="n">
        <v>38</v>
      </c>
      <c r="E4" s="11" t="n">
        <v>45323</v>
      </c>
      <c r="F4" s="12" t="n"/>
      <c r="G4" s="13" t="n"/>
      <c r="H4" s="9" t="n"/>
    </row>
    <row r="5">
      <c r="A5" s="5" t="inlineStr">
        <is>
          <t>RM-04</t>
        </is>
      </c>
      <c r="B5" s="5" t="inlineStr">
        <is>
          <t>דבק תעשייתי (ק"ג)</t>
        </is>
      </c>
      <c r="C5" s="6" t="n">
        <v>900</v>
      </c>
      <c r="D5" s="6" t="n">
        <v>22</v>
      </c>
      <c r="E5" s="11" t="n">
        <v>46054</v>
      </c>
      <c r="F5" s="12" t="n"/>
      <c r="G5" s="13" t="n"/>
      <c r="H5" s="9" t="n"/>
    </row>
    <row r="6">
      <c r="A6" s="5" t="inlineStr">
        <is>
          <t>RM-05</t>
        </is>
      </c>
      <c r="B6" s="5" t="inlineStr">
        <is>
          <t>סרט עטיפה (גליל)</t>
        </is>
      </c>
      <c r="C6" s="6" t="n">
        <v>350</v>
      </c>
      <c r="D6" s="6" t="n">
        <v>410</v>
      </c>
      <c r="E6" s="11" t="n">
        <v>45809</v>
      </c>
      <c r="F6" s="12" t="n"/>
      <c r="G6" s="13" t="n"/>
      <c r="H6" s="9" t="n"/>
    </row>
    <row r="7">
      <c r="H7" s="10">
        <f>SUM(H2:H6)</f>
        <v/>
      </c>
    </row>
    <row r="9">
      <c r="A9" t="inlineStr">
        <is>
          <t>יתרת הפרשה למלאי בספרים לפני הסגירה ₪</t>
        </is>
      </c>
      <c r="D9" s="10" t="n">
        <v>180000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</cols>
  <sheetData>
    <row r="1">
      <c r="A1" s="4" t="inlineStr">
        <is>
          <t>עלות שנצברה בנכס בהקמה</t>
        </is>
      </c>
      <c r="B1" s="4" t="inlineStr">
        <is>
          <t>סכום ₪</t>
        </is>
      </c>
      <c r="C1" s="4" t="inlineStr">
        <is>
          <t>להוון? (כן/לא)</t>
        </is>
      </c>
    </row>
    <row r="2">
      <c r="A2" s="5" t="inlineStr">
        <is>
          <t>ציוד קו ייצור 4</t>
        </is>
      </c>
      <c r="B2" s="6" t="n">
        <v>3200000</v>
      </c>
      <c r="C2" s="12" t="n"/>
    </row>
    <row r="3">
      <c r="A3" s="5" t="inlineStr">
        <is>
          <t>התקנה והרכבה</t>
        </is>
      </c>
      <c r="B3" s="6" t="n">
        <v>260000</v>
      </c>
      <c r="C3" s="12" t="n"/>
    </row>
    <row r="4">
      <c r="A4" s="5" t="inlineStr">
        <is>
          <t>בדיקות הרצה (נטו ממכירת דוגמאות)</t>
        </is>
      </c>
      <c r="B4" s="6" t="n">
        <v>45000</v>
      </c>
      <c r="C4" s="12" t="n"/>
    </row>
    <row r="5">
      <c r="A5" s="5" t="inlineStr">
        <is>
          <t>הדרכת עובדים על הקו</t>
        </is>
      </c>
      <c r="B5" s="6" t="n">
        <v>38000</v>
      </c>
      <c r="C5" s="12" t="n"/>
    </row>
    <row r="6">
      <c r="A6" s="5" t="inlineStr">
        <is>
          <t>העמסת תקורות הנהלה כלליות</t>
        </is>
      </c>
      <c r="B6" s="6" t="n">
        <v>52000</v>
      </c>
      <c r="C6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>
      <c r="A1" s="4" t="inlineStr">
        <is>
          <t>יתרה</t>
        </is>
      </c>
      <c r="B1" s="4" t="inlineStr">
        <is>
          <t>סכום €</t>
        </is>
      </c>
      <c r="C1" s="4" t="inlineStr">
        <is>
          <t>שער 31.5</t>
        </is>
      </c>
      <c r="D1" s="4" t="inlineStr">
        <is>
          <t>שער 30.6</t>
        </is>
      </c>
      <c r="E1" s="4" t="inlineStr">
        <is>
          <t>רווח (הפסד) ₪</t>
        </is>
      </c>
    </row>
    <row r="2">
      <c r="A2" s="5" t="inlineStr">
        <is>
          <t>ספקים באירו (התחייבות)</t>
        </is>
      </c>
      <c r="B2" s="6" t="n">
        <v>-1200000</v>
      </c>
      <c r="C2" s="5" t="n">
        <v>4.05</v>
      </c>
      <c r="D2" s="5" t="n">
        <v>4.12</v>
      </c>
      <c r="E2" s="9" t="n"/>
    </row>
    <row r="3">
      <c r="A3" s="5" t="inlineStr">
        <is>
          <t>לקוחות באירו (נכס)</t>
        </is>
      </c>
      <c r="B3" s="6" t="n">
        <v>650000</v>
      </c>
      <c r="C3" s="5" t="n">
        <v>4.05</v>
      </c>
      <c r="D3" s="5" t="n">
        <v>4.12</v>
      </c>
      <c r="E3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4" t="inlineStr">
        <is>
          <t>שאלה</t>
        </is>
      </c>
      <c r="B1" s="14" t="inlineStr">
        <is>
          <t>התשובה שלך</t>
        </is>
      </c>
      <c r="C1" s="14" t="inlineStr">
        <is>
          <t>בדיקה</t>
        </is>
      </c>
    </row>
    <row r="2">
      <c r="A2" s="2" t="inlineStr">
        <is>
          <t>ירידת ערך מלאי מוגמר (שווי מימוש נטו) ₪</t>
        </is>
      </c>
      <c r="B2" s="15" t="n"/>
      <c r="C2" s="16">
        <f>IF(B2="","",IF(ABS(B2-(24900))&lt;=1.0,"✓ נכון","✗ עוד לא"))</f>
        <v/>
      </c>
    </row>
    <row r="3">
      <c r="A3" s="2" t="inlineStr">
        <is>
          <t>הפרשה למלאי איטי בחומרי גלם ₪</t>
        </is>
      </c>
      <c r="B3" s="15" t="n"/>
      <c r="C3" s="16">
        <f>IF(B3="","",IF(ABS(B3-(212100))&lt;=1.0,"✓ נכון","✗ עוד לא"))</f>
        <v/>
      </c>
    </row>
    <row r="4">
      <c r="A4" s="2" t="inlineStr">
        <is>
          <t>סך הפרשה נדרשת למלאי ₪</t>
        </is>
      </c>
      <c r="B4" s="15" t="n"/>
      <c r="C4" s="16">
        <f>IF(B4="","",IF(ABS(B4-(237000))&lt;=1.0,"✓ נכון","✗ עוד לא"))</f>
        <v/>
      </c>
    </row>
    <row r="5">
      <c r="A5" s="2" t="inlineStr">
        <is>
          <t>סכום הפקודה להשלמת ההפרשה ₪</t>
        </is>
      </c>
      <c r="B5" s="15" t="n"/>
      <c r="C5" s="16">
        <f>IF(B5="","",IF(ABS(B5-(57000))&lt;=1.0,"✓ נכון","✗ עוד לא"))</f>
        <v/>
      </c>
    </row>
    <row r="6">
      <c r="A6" s="2" t="inlineStr">
        <is>
          <t>סכום להוון לרכוש קבוע (קו 4) ₪</t>
        </is>
      </c>
      <c r="B6" s="15" t="n"/>
      <c r="C6" s="16">
        <f>IF(B6="","",IF(ABS(B6-(3505000))&lt;=1.0,"✓ נכון","✗ עוד לא"))</f>
        <v/>
      </c>
    </row>
    <row r="7">
      <c r="A7" s="2" t="inlineStr">
        <is>
          <t>סכום לרשום כהוצאה במקום להוון ₪</t>
        </is>
      </c>
      <c r="B7" s="15" t="n"/>
      <c r="C7" s="16">
        <f>IF(B7="","",IF(ABS(B7-(90000))&lt;=1.0,"✓ נכון","✗ עוד לא"))</f>
        <v/>
      </c>
    </row>
    <row r="8">
      <c r="A8" s="2" t="inlineStr">
        <is>
          <t>פחת קו 4 שנרשם ביוני ₪</t>
        </is>
      </c>
      <c r="B8" s="15" t="n"/>
      <c r="C8" s="16">
        <f>IF(B8="","",IF(ABS(B8-(0))&lt;=1.0,"✓ נכון","✗ עוד לא"))</f>
        <v/>
      </c>
    </row>
    <row r="9">
      <c r="A9" s="2" t="inlineStr">
        <is>
          <t>רווח (הפסד) נטו משערוך אירו ₪ (הפסד במינוס)</t>
        </is>
      </c>
      <c r="B9" s="15" t="n"/>
      <c r="C9" s="16">
        <f>IF(B9="","",IF(ABS(B9-(-38500))&lt;=1.0,"✓ נכון","✗ עוד לא"))</f>
        <v/>
      </c>
    </row>
    <row r="10">
      <c r="A10" s="2" t="inlineStr">
        <is>
          <t>הפרשה לחשמל יוני ₪</t>
        </is>
      </c>
      <c r="B10" s="15" t="n"/>
      <c r="C10" s="16">
        <f>IF(B10="","",IF(ABS(B10-(917600))&lt;=1.0,"✓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conditionalFormatting sqref="C10">
    <cfRule type="expression" priority="17" dxfId="0">
      <formula>LEFT(C10,1)="✓"</formula>
    </cfRule>
    <cfRule type="expression" priority="18" dxfId="1">
      <formula>LEFT(C10,1)="✗"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