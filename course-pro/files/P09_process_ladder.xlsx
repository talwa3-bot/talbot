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הליכים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3" borderId="1" pivotButton="0" quotePrefix="0" xfId="0"/>
    <xf numFmtId="165" fontId="0" fillId="0" borderId="0" pivotButton="0" quotePrefix="0" xfId="0"/>
    <xf numFmtId="0" fontId="3" fillId="2" borderId="0" pivotButton="0" quotePrefix="0" xfId="0"/>
    <xf numFmtId="165" fontId="0" fillId="3" borderId="0" pivotButton="0" quotePrefix="0" xfId="0"/>
    <xf numFmtId="0" fontId="2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9 | סולם השיפור: מתהליך ידני לתהליך חכם</t>
        </is>
      </c>
    </row>
    <row r="3">
      <c r="A3" s="2" t="inlineStr">
        <is>
          <t>הסיפור: עברו 90 יום בתפקיד. סמנכ"ל הכספים מבקש: "תביאי תוכנית שיפור לשנה הקרובה, עם מספרים."</t>
        </is>
      </c>
    </row>
    <row r="4">
      <c r="A4" s="2" t="inlineStr">
        <is>
          <t>סולם השיפור: 1 ידני. 2 מבוקר (בקרות מתועדות). 3 אוטומטי (המערכת עושה את החלק החוזר). 4 חכם (בינה מלאכותית עם בקרה אנושית).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1: שעות שנחסכות בחודש = שעות ידניות × % שאפשר לאוטמט.</t>
        </is>
      </c>
    </row>
    <row r="9">
      <c r="A9" s="3" t="inlineStr">
        <is>
          <t>משימה 2: ערך שנתי = שעות שנחסכות × 12 × 250 ₪ לשעה.</t>
        </is>
      </c>
    </row>
    <row r="10">
      <c r="A10" s="3" t="inlineStr">
        <is>
          <t>משימה 3: עדיפות = השפעה (1-5) חלקי מאמץ (1-5). מדרגים מהגבוה לנמוך. שלושת הראשונים = "ניצחונות מהירים" לרבעון הקרוב.</t>
        </is>
      </c>
    </row>
    <row r="11">
      <c r="A11" s="3" t="inlineStr">
        <is>
          <t>משימה 4: לכל תהליך כתבי את המדרגה הבאה בסולם ומה בדיוק בונים.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  <col width="8" customWidth="1" min="13" max="13"/>
  </cols>
  <sheetData>
    <row r="1">
      <c r="A1" s="4" t="inlineStr">
        <is>
          <t>תהליך</t>
        </is>
      </c>
      <c r="B1" s="4" t="inlineStr">
        <is>
          <t>מדד</t>
        </is>
      </c>
      <c r="C1" s="4" t="inlineStr">
        <is>
          <t>מצב נוכחי</t>
        </is>
      </c>
      <c r="D1" s="4" t="inlineStr">
        <is>
          <t>יעד</t>
        </is>
      </c>
      <c r="E1" s="4" t="inlineStr">
        <is>
          <t>מדרגה נוכחית (1-4)</t>
        </is>
      </c>
      <c r="F1" s="4" t="inlineStr">
        <is>
          <t>שעות ידניות בחודש</t>
        </is>
      </c>
      <c r="G1" s="4" t="inlineStr">
        <is>
          <t>% שאפשר לאוטמט</t>
        </is>
      </c>
      <c r="H1" s="4" t="inlineStr">
        <is>
          <t>השפעה (1-5)</t>
        </is>
      </c>
      <c r="I1" s="4" t="inlineStr">
        <is>
          <t>מאמץ (1-5)</t>
        </is>
      </c>
      <c r="J1" s="4" t="inlineStr">
        <is>
          <t>שעות שנחסכות בחודש</t>
        </is>
      </c>
      <c r="K1" s="4" t="inlineStr">
        <is>
          <t>ערך שנתי ₪</t>
        </is>
      </c>
      <c r="L1" s="4" t="inlineStr">
        <is>
          <t>עדיפות</t>
        </is>
      </c>
      <c r="M1" s="4" t="inlineStr">
        <is>
          <t>דירוג</t>
        </is>
      </c>
    </row>
    <row r="2">
      <c r="A2" s="5" t="inlineStr">
        <is>
          <t>סגירת חודש</t>
        </is>
      </c>
      <c r="B2" s="5" t="inlineStr">
        <is>
          <t>ימים עד סגירה</t>
        </is>
      </c>
      <c r="C2" s="5" t="n">
        <v>9</v>
      </c>
      <c r="D2" s="5" t="n">
        <v>5</v>
      </c>
      <c r="E2" s="5" t="n">
        <v>2</v>
      </c>
      <c r="F2" s="5" t="n">
        <v>160</v>
      </c>
      <c r="G2" s="6" t="n">
        <v>0.35</v>
      </c>
      <c r="H2" s="5" t="n">
        <v>5</v>
      </c>
      <c r="I2" s="5" t="n">
        <v>3</v>
      </c>
      <c r="J2" s="7" t="n"/>
      <c r="K2" s="7" t="n"/>
      <c r="L2" s="8" t="n"/>
      <c r="M2" s="9" t="n"/>
    </row>
    <row r="3">
      <c r="A3" s="5" t="inlineStr">
        <is>
          <t>התאמות בנק</t>
        </is>
      </c>
      <c r="B3" s="5" t="inlineStr">
        <is>
          <t>שעות בחודש</t>
        </is>
      </c>
      <c r="C3" s="5" t="n">
        <v>40</v>
      </c>
      <c r="D3" s="5" t="n">
        <v>8</v>
      </c>
      <c r="E3" s="5" t="n">
        <v>1</v>
      </c>
      <c r="F3" s="5" t="n">
        <v>40</v>
      </c>
      <c r="G3" s="6" t="n">
        <v>0.8</v>
      </c>
      <c r="H3" s="5" t="n">
        <v>3</v>
      </c>
      <c r="I3" s="5" t="n">
        <v>1</v>
      </c>
      <c r="J3" s="7" t="n"/>
      <c r="K3" s="7" t="n"/>
      <c r="L3" s="8" t="n"/>
      <c r="M3" s="9" t="n"/>
    </row>
    <row r="4">
      <c r="A4" s="5" t="inlineStr">
        <is>
          <t>קליטת חשבוניות ספקים</t>
        </is>
      </c>
      <c r="B4" s="5" t="inlineStr">
        <is>
          <t>חשבוניות לעובד ביום</t>
        </is>
      </c>
      <c r="C4" s="5" t="n">
        <v>45</v>
      </c>
      <c r="D4" s="5" t="n">
        <v>120</v>
      </c>
      <c r="E4" s="5" t="n">
        <v>1</v>
      </c>
      <c r="F4" s="5" t="n">
        <v>220</v>
      </c>
      <c r="G4" s="6" t="n">
        <v>0.6</v>
      </c>
      <c r="H4" s="5" t="n">
        <v>4</v>
      </c>
      <c r="I4" s="5" t="n">
        <v>3</v>
      </c>
      <c r="J4" s="7" t="n"/>
      <c r="K4" s="7" t="n"/>
      <c r="L4" s="8" t="n"/>
      <c r="M4" s="9" t="n"/>
    </row>
    <row r="5">
      <c r="A5" s="5" t="inlineStr">
        <is>
          <t>גבייה</t>
        </is>
      </c>
      <c r="B5" s="5" t="inlineStr">
        <is>
          <t>ימי אשראי לקוחות (DSO)</t>
        </is>
      </c>
      <c r="C5" s="5" t="n">
        <v>78</v>
      </c>
      <c r="D5" s="5" t="n">
        <v>60</v>
      </c>
      <c r="E5" s="5" t="n">
        <v>2</v>
      </c>
      <c r="F5" s="5" t="n">
        <v>90</v>
      </c>
      <c r="G5" s="6" t="n">
        <v>0.4</v>
      </c>
      <c r="H5" s="5" t="n">
        <v>5</v>
      </c>
      <c r="I5" s="5" t="n">
        <v>2</v>
      </c>
      <c r="J5" s="7" t="n"/>
      <c r="K5" s="7" t="n"/>
      <c r="L5" s="8" t="n"/>
      <c r="M5" s="9" t="n"/>
    </row>
    <row r="6">
      <c r="A6" s="5" t="inlineStr">
        <is>
          <t>פקודות יומן ידניות</t>
        </is>
      </c>
      <c r="B6" s="5" t="inlineStr">
        <is>
          <t>% פקודות ידניות</t>
        </is>
      </c>
      <c r="C6" s="5" t="n">
        <v>38</v>
      </c>
      <c r="D6" s="5" t="n">
        <v>15</v>
      </c>
      <c r="E6" s="5" t="n">
        <v>2</v>
      </c>
      <c r="F6" s="5" t="n">
        <v>70</v>
      </c>
      <c r="G6" s="6" t="n">
        <v>0.5</v>
      </c>
      <c r="H6" s="5" t="n">
        <v>3</v>
      </c>
      <c r="I6" s="5" t="n">
        <v>2</v>
      </c>
      <c r="J6" s="7" t="n"/>
      <c r="K6" s="7" t="n"/>
      <c r="L6" s="8" t="n"/>
      <c r="M6" s="9" t="n"/>
    </row>
    <row r="7">
      <c r="A7" s="5" t="inlineStr">
        <is>
          <t>התאמות בין-חברתיות</t>
        </is>
      </c>
      <c r="B7" s="5" t="inlineStr">
        <is>
          <t>הפרשים פתוחים בסגירה</t>
        </is>
      </c>
      <c r="C7" s="5" t="n">
        <v>14</v>
      </c>
      <c r="D7" s="5" t="n">
        <v>2</v>
      </c>
      <c r="E7" s="5" t="n">
        <v>1</v>
      </c>
      <c r="F7" s="5" t="n">
        <v>50</v>
      </c>
      <c r="G7" s="6" t="n">
        <v>0.7</v>
      </c>
      <c r="H7" s="5" t="n">
        <v>4</v>
      </c>
      <c r="I7" s="5" t="n">
        <v>3</v>
      </c>
      <c r="J7" s="7" t="n"/>
      <c r="K7" s="7" t="n"/>
      <c r="L7" s="8" t="n"/>
      <c r="M7" s="9" t="n"/>
    </row>
    <row r="8">
      <c r="A8" s="5" t="inlineStr">
        <is>
          <t>דיווח להנהלה</t>
        </is>
      </c>
      <c r="B8" s="5" t="inlineStr">
        <is>
          <t>ימים עד חבילת דוחות</t>
        </is>
      </c>
      <c r="C8" s="5" t="n">
        <v>12</v>
      </c>
      <c r="D8" s="5" t="n">
        <v>6</v>
      </c>
      <c r="E8" s="5" t="n">
        <v>2</v>
      </c>
      <c r="F8" s="5" t="n">
        <v>60</v>
      </c>
      <c r="G8" s="6" t="n">
        <v>0.55</v>
      </c>
      <c r="H8" s="5" t="n">
        <v>4</v>
      </c>
      <c r="I8" s="5" t="n">
        <v>2</v>
      </c>
      <c r="J8" s="7" t="n"/>
      <c r="K8" s="7" t="n"/>
      <c r="L8" s="8" t="n"/>
      <c r="M8" s="9" t="n"/>
    </row>
    <row r="9">
      <c r="A9" s="5" t="inlineStr">
        <is>
          <t>הסברי סטיות</t>
        </is>
      </c>
      <c r="B9" s="5" t="inlineStr">
        <is>
          <t>שעות בחודש</t>
        </is>
      </c>
      <c r="C9" s="5" t="n">
        <v>30</v>
      </c>
      <c r="D9" s="5" t="n">
        <v>10</v>
      </c>
      <c r="E9" s="5" t="n">
        <v>1</v>
      </c>
      <c r="F9" s="5" t="n">
        <v>30</v>
      </c>
      <c r="G9" s="6" t="n">
        <v>0.6</v>
      </c>
      <c r="H9" s="5" t="n">
        <v>3</v>
      </c>
      <c r="I9" s="5" t="n">
        <v>1</v>
      </c>
      <c r="J9" s="7" t="n"/>
      <c r="K9" s="7" t="n"/>
      <c r="L9" s="8" t="n"/>
      <c r="M9" s="9" t="n"/>
    </row>
    <row r="10">
      <c r="K10" s="10">
        <f>SUM(K2:K9)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1" t="inlineStr">
        <is>
          <t>שאלה</t>
        </is>
      </c>
      <c r="B1" s="11" t="inlineStr">
        <is>
          <t>התשובה שלך</t>
        </is>
      </c>
      <c r="C1" s="11" t="inlineStr">
        <is>
          <t>בדיקה</t>
        </is>
      </c>
    </row>
    <row r="2">
      <c r="A2" s="2" t="inlineStr">
        <is>
          <t>סך ערך שנתי מכל השיפורים ₪</t>
        </is>
      </c>
      <c r="B2" s="12" t="n"/>
      <c r="C2" s="13">
        <f>IF(B2="","",IF(ABS(B2-(1131000))&lt;=1.0,"✓ נכון","✗ עוד לא"))</f>
        <v/>
      </c>
    </row>
    <row r="3">
      <c r="A3" s="2" t="inlineStr">
        <is>
          <t>התהליך במקום הראשון בעדיפות (העתיקי את השם)</t>
        </is>
      </c>
      <c r="B3" s="14" t="n"/>
      <c r="C3" s="13">
        <f>IF(B3="","",IF(TRIM(B3)="התאמות בנק","✓ נכון","✗ עוד לא"))</f>
        <v/>
      </c>
    </row>
    <row r="4">
      <c r="A4" s="2" t="inlineStr">
        <is>
          <t>ערך שנתי של התהליך במקום הראשון ₪</t>
        </is>
      </c>
      <c r="B4" s="12" t="n"/>
      <c r="C4" s="13">
        <f>IF(B4="","",IF(ABS(B4-(96000))&lt;=1.0,"✓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