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חברות" sheetId="2" state="visible" r:id="rId2"/>
    <sheet name="שאלו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2" borderId="0" pivotButton="0" quotePrefix="0" xfId="0"/>
    <xf numFmtId="164" fontId="0" fillId="3" borderId="0" pivotButton="0" quotePrefix="0" xfId="0"/>
    <xf numFmtId="0" fontId="2" fillId="0" borderId="0" pivotButton="0" quotePrefix="0" xfId="0"/>
    <xf numFmtId="2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מסלול תעשייה | שלב 10 | פרויקט גמר: דוח מאוחד שנתי ואמות מידה | גלבוע תעשיות (אלפי ₪)</t>
        </is>
      </c>
    </row>
    <row r="3">
      <c r="A3" s="2" t="inlineStr">
        <is>
          <t>הסיפור: טיוטת דוח שנתי 2026. חברה אם (גלבוע תעשיות) וחברה בת בבעלות מלאה (גלבוע אריזות צפון).</t>
        </is>
      </c>
    </row>
    <row r="4">
      <c r="A4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5">
      <c r="A5" s="2" t="inlineStr">
        <is>
          <t>טיפ ADHD: משימה אחת בכל פעם. כל גיליון הוא משימה של 15 עד 25 דקות. סיימת גיליון? קומי, מים, ואז הבא.</t>
        </is>
      </c>
    </row>
    <row r="6">
      <c r="A6" s="2" t="inlineStr"/>
    </row>
    <row r="7">
      <c r="A7" s="2" t="inlineStr">
        <is>
          <t>1. האם מכרה לבת סחורה ב-18,000. 40% ממנה עדיין במלאי הבת בסוף השנה. שיעור הרווח של האם על המכירה: 25%.</t>
        </is>
      </c>
    </row>
    <row r="8">
      <c r="A8" s="2" t="inlineStr">
        <is>
          <t xml:space="preserve">   מבטלים את המכירה הפנימית, ואת הרווח שלא מומש במלאי (עלות המכר עולה, המלאי יורד).</t>
        </is>
      </c>
    </row>
    <row r="9">
      <c r="A9" s="2" t="inlineStr">
        <is>
          <t>2. מהסגירה של יוני (שלב 2) עלתה תוספת ירידת ערך מלאי של 57 שלא נרשמה בטיוטה.</t>
        </is>
      </c>
    </row>
    <row r="10">
      <c r="A10" s="2" t="inlineStr">
        <is>
          <t>3. חייבים בין-חברתיים אצל האם 6,400. זכאים אצל הבת 5,900. ההפרש: סחורה שנשלחה ב-30.12 והגיעה ב-2.1.</t>
        </is>
      </c>
    </row>
    <row r="11">
      <c r="A11" s="2" t="inlineStr">
        <is>
          <t>4. חוב פיננסי נטו: 290,000. אמת מידה: חוב נטו חלקי EBITDA לכל היותר 5.5.</t>
        </is>
      </c>
    </row>
    <row r="12">
      <c r="A12" s="3" t="inlineStr">
        <is>
          <t>משימה: הכנסות, עלות מכר, רווח תפעולי ו-EBITDA מאוחדים, ויחס חוב נטו ל-EBITDA אחרי התיקונים.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4" t="inlineStr">
        <is>
          <t>סעיף</t>
        </is>
      </c>
      <c r="B1" s="4" t="inlineStr">
        <is>
          <t>חברה אם</t>
        </is>
      </c>
      <c r="C1" s="4" t="inlineStr">
        <is>
          <t>חברה בת</t>
        </is>
      </c>
    </row>
    <row r="2">
      <c r="A2" s="5" t="inlineStr">
        <is>
          <t>הכנסות</t>
        </is>
      </c>
      <c r="B2" s="6" t="n">
        <v>212000</v>
      </c>
      <c r="C2" s="6" t="n">
        <v>64000</v>
      </c>
    </row>
    <row r="3">
      <c r="A3" s="5" t="inlineStr">
        <is>
          <t xml:space="preserve">   מתוכן מכירות לחברה הבת</t>
        </is>
      </c>
      <c r="B3" s="6" t="n">
        <v>18000</v>
      </c>
      <c r="C3" s="6" t="n">
        <v>0</v>
      </c>
    </row>
    <row r="4">
      <c r="A4" s="5" t="inlineStr">
        <is>
          <t>עלות המכר</t>
        </is>
      </c>
      <c r="B4" s="6" t="n">
        <v>158000</v>
      </c>
      <c r="C4" s="6" t="n">
        <v>47000</v>
      </c>
    </row>
    <row r="5">
      <c r="A5" s="5" t="inlineStr">
        <is>
          <t>הוצאות תפעול</t>
        </is>
      </c>
      <c r="B5" s="6" t="n">
        <v>31000</v>
      </c>
      <c r="C5" s="6" t="n">
        <v>8200</v>
      </c>
    </row>
    <row r="6">
      <c r="A6" s="5" t="inlineStr">
        <is>
          <t>הוצאות מימון, נטו</t>
        </is>
      </c>
      <c r="B6" s="6" t="n">
        <v>9500</v>
      </c>
      <c r="C6" s="6" t="n">
        <v>700</v>
      </c>
    </row>
    <row r="7">
      <c r="A7" s="5" t="inlineStr">
        <is>
          <t>פחת והפחתות (כלול בעלויות)</t>
        </is>
      </c>
      <c r="B7" s="6" t="n">
        <v>22000</v>
      </c>
      <c r="C7" s="6" t="n"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7" t="inlineStr">
        <is>
          <t>שאלה</t>
        </is>
      </c>
      <c r="B1" s="7" t="inlineStr">
        <is>
          <t>התשובה שלך</t>
        </is>
      </c>
      <c r="C1" s="7" t="inlineStr">
        <is>
          <t>בדיקה</t>
        </is>
      </c>
    </row>
    <row r="2">
      <c r="A2" s="2" t="inlineStr">
        <is>
          <t>רווח שלא מומש במלאי לביטול</t>
        </is>
      </c>
      <c r="B2" s="8">
        <f>18000*40%*25%</f>
        <v/>
      </c>
      <c r="C2" s="9">
        <f>IF(B2="","",IF(ABS(B2-(1800))&lt;=1.0,"✓ נכון","✗ עוד לא"))</f>
        <v/>
      </c>
    </row>
    <row r="3">
      <c r="A3" s="2" t="inlineStr">
        <is>
          <t>הכנסות מאוחדות</t>
        </is>
      </c>
      <c r="B3" s="8" t="n">
        <v>258000</v>
      </c>
      <c r="C3" s="9">
        <f>IF(B3="","",IF(ABS(B3-(258000))&lt;=1.0,"✓ נכון","✗ עוד לא"))</f>
        <v/>
      </c>
    </row>
    <row r="4">
      <c r="A4" s="2" t="inlineStr">
        <is>
          <t>עלות מכר מאוחדת (כולל שני התיקונים)</t>
        </is>
      </c>
      <c r="B4" s="8" t="n">
        <v>188857</v>
      </c>
      <c r="C4" s="9">
        <f>IF(B4="","",IF(ABS(B4-(188857))&lt;=1.0,"✓ נכון","✗ עוד לא"))</f>
        <v/>
      </c>
    </row>
    <row r="5">
      <c r="A5" s="2" t="inlineStr">
        <is>
          <t>רווח תפעולי מאוחד</t>
        </is>
      </c>
      <c r="B5" s="8" t="n">
        <v>29943</v>
      </c>
      <c r="C5" s="9">
        <f>IF(B5="","",IF(ABS(B5-(29943))&lt;=1.0,"✓ נכון","✗ עוד לא"))</f>
        <v/>
      </c>
    </row>
    <row r="6">
      <c r="A6" s="2" t="inlineStr">
        <is>
          <t>EBITDA מאוחד</t>
        </is>
      </c>
      <c r="B6" s="8" t="n">
        <v>55943</v>
      </c>
      <c r="C6" s="9">
        <f>IF(B6="","",IF(ABS(B6-(55943))&lt;=1.0,"✓ נכון","✗ עוד לא"))</f>
        <v/>
      </c>
    </row>
    <row r="7">
      <c r="A7" s="2" t="inlineStr">
        <is>
          <t>חוב נטו ל-EBITDA (2 ספרות)</t>
        </is>
      </c>
      <c r="B7" s="10" t="n">
        <v>5.18</v>
      </c>
      <c r="C7" s="9">
        <f>IF(B7="","",IF(ABS(B7-(5.18))&lt;=0.005,"✓ נכון","✗ עוד לא"))</f>
        <v/>
      </c>
    </row>
    <row r="8">
      <c r="A8" s="2" t="inlineStr">
        <is>
          <t>EBITDA לפני התיקונים (כדי לראות כמה המרווח נשחק)</t>
        </is>
      </c>
      <c r="B8" s="8" t="n">
        <v>57800</v>
      </c>
      <c r="C8" s="9">
        <f>IF(B8="","",IF(ABS(B8-(57800))&lt;=1.0,"✓ נכון","✗ עוד לא"))</f>
        <v/>
      </c>
    </row>
    <row r="10">
      <c r="A10" s="11" t="inlineStr">
        <is>
          <t>היחס עומד באמת המידה, אבל המרווח קטן. בדוח הדירקטוריון מציגים את היחס, את המרווח ואת הרגישות. ההפרש הבין-חברתי (500) הוא מלאי בדרך: רושמים אצל הבת מלאי בדרך וזכאים, ואז מבטלים 6,400 מול 6,400.</t>
        </is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conditionalFormatting sqref="C5">
    <cfRule type="expression" priority="7" dxfId="0">
      <formula>LEFT(C5,1)="✓"</formula>
    </cfRule>
    <cfRule type="expression" priority="8" dxfId="1">
      <formula>LEFT(C5,1)="✗"</formula>
    </cfRule>
  </conditionalFormatting>
  <conditionalFormatting sqref="C6">
    <cfRule type="expression" priority="9" dxfId="0">
      <formula>LEFT(C6,1)="✓"</formula>
    </cfRule>
    <cfRule type="expression" priority="10" dxfId="1">
      <formula>LEFT(C6,1)="✗"</formula>
    </cfRule>
  </conditionalFormatting>
  <conditionalFormatting sqref="C7">
    <cfRule type="expression" priority="11" dxfId="0">
      <formula>LEFT(C7,1)="✓"</formula>
    </cfRule>
    <cfRule type="expression" priority="12" dxfId="1">
      <formula>LEFT(C7,1)="✗"</formula>
    </cfRule>
  </conditionalFormatting>
  <conditionalFormatting sqref="C8">
    <cfRule type="expression" priority="13" dxfId="0">
      <formula>LEFT(C8,1)="✓"</formula>
    </cfRule>
    <cfRule type="expression" priority="14" dxfId="1">
      <formula>LEFT(C8,1)="✗"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