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טריצת בקרות" sheetId="2" state="visible" r:id="rId2"/>
    <sheet name="פיצול סמכויות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1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5 | לתכנן בקרות, לא רק לבדוק אותן</t>
        </is>
      </c>
    </row>
    <row r="3">
      <c r="A3" s="2" t="inlineStr">
        <is>
          <t>כמבקרת שאלת: "הבקרה עבדה?". כחשבת את שואלת: "איזו בקרה צריכה להיות כאן, מי מבצע, ואיזו ראיה נשארת?"</t>
        </is>
      </c>
    </row>
    <row r="4">
      <c r="A4" s="2" t="inlineStr">
        <is>
          <t>בהייטק בנאסד"ק זה SOX 404. בחברה ציבורית בתל אביב זו ההערכה של אפקטיביות הבקרה הפנימית (תקנה 9ב). העיקרון זהה.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("מטריצת בקרות"): לכל שורה קבעי אם תכנון הבקרה תקין או חסר. לחסרות כתבי בקרה משופרת.</t>
        </is>
      </c>
    </row>
    <row r="9">
      <c r="A9" s="2" t="inlineStr">
        <is>
          <t xml:space="preserve">   בקרה טובה עונה על: מה בודקים, מי (בלי קונפליקט), מתי (תדירות), סף, ואיזו ראיה נשמרת.</t>
        </is>
      </c>
    </row>
    <row r="10">
      <c r="A10" s="3" t="inlineStr">
        <is>
          <t>משימה 2 ("פיצול סמכויות"): סמני משתמשים עם שילוב הרשאות מסוכן:</t>
        </is>
      </c>
    </row>
    <row r="11">
      <c r="A11" s="2" t="inlineStr">
        <is>
          <t xml:space="preserve">   הקמת ספק + אישור תשלום. שינוי פרטי בנק + אישור תשלום. רישום פקודה + אישור פקודה. הפקת זיכוי + רישום תקבולים.</t>
        </is>
      </c>
    </row>
    <row r="12">
      <c r="A12" s="3" t="inlineStr">
        <is>
          <t>משימה 3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70" customWidth="1" min="5" max="5"/>
  </cols>
  <sheetData>
    <row r="1">
      <c r="A1" s="4" t="inlineStr">
        <is>
          <t>תהליך</t>
        </is>
      </c>
      <c r="B1" s="4" t="inlineStr">
        <is>
          <t>סיכון</t>
        </is>
      </c>
      <c r="C1" s="4" t="inlineStr">
        <is>
          <t>הבקרה הקיימת</t>
        </is>
      </c>
      <c r="D1" s="4" t="inlineStr">
        <is>
          <t>תכנון (תקין/חסר)</t>
        </is>
      </c>
      <c r="E1" s="4" t="inlineStr">
        <is>
          <t>בקרה משופרת מוצעת</t>
        </is>
      </c>
    </row>
    <row r="2">
      <c r="A2" s="5" t="inlineStr">
        <is>
          <t>רכש לתשלום</t>
        </is>
      </c>
      <c r="B2" s="5" t="inlineStr">
        <is>
          <t>תשלום לספק פיקטיבי</t>
        </is>
      </c>
      <c r="C2" s="6" t="inlineStr">
        <is>
          <t>הקמת ספק דורשת טופס, אישור רכש, והעתק אישור ניהול ספרים</t>
        </is>
      </c>
      <c r="D2" s="5" t="inlineStr">
        <is>
          <t>תקין</t>
        </is>
      </c>
      <c r="E2" s="6" t="inlineStr"/>
    </row>
    <row r="3">
      <c r="A3" s="5" t="inlineStr">
        <is>
          <t>רכש לתשלום</t>
        </is>
      </c>
      <c r="B3" s="5" t="inlineStr">
        <is>
          <t>שינוי פרטי בנק במרמה</t>
        </is>
      </c>
      <c r="C3" s="6" t="inlineStr">
        <is>
          <t>מנהלת החשבונות מעדכנת פרטי בנק לפי מייל מהספק</t>
        </is>
      </c>
      <c r="D3" s="5" t="inlineStr">
        <is>
          <t>חסר</t>
        </is>
      </c>
      <c r="E3" s="6" t="inlineStr">
        <is>
          <t>אימות טלפוני מול איש קשר קיים + אישור שני + דוח שינויים שבועי שנבדק על ידי מי שלא ביצע</t>
        </is>
      </c>
    </row>
    <row r="4">
      <c r="A4" s="5" t="inlineStr">
        <is>
          <t>רכש לתשלום</t>
        </is>
      </c>
      <c r="B4" s="5" t="inlineStr">
        <is>
          <t>תשלום כפול</t>
        </is>
      </c>
      <c r="C4" s="6" t="inlineStr">
        <is>
          <t>המערכת חוסמת מספר חשבונית כפול לאותו ספק</t>
        </is>
      </c>
      <c r="D4" s="5" t="inlineStr">
        <is>
          <t>תקין</t>
        </is>
      </c>
      <c r="E4" s="6" t="inlineStr"/>
    </row>
    <row r="5">
      <c r="A5" s="5" t="inlineStr">
        <is>
          <t>הכנסות</t>
        </is>
      </c>
      <c r="B5" s="5" t="inlineStr">
        <is>
          <t>הכנסה בתקופה הלא נכונה</t>
        </is>
      </c>
      <c r="C5" s="6" t="inlineStr">
        <is>
          <t>אין בקרה ייעודית בסוף תקופה</t>
        </is>
      </c>
      <c r="D5" s="5" t="inlineStr">
        <is>
          <t>חסר</t>
        </is>
      </c>
      <c r="E5" s="6" t="inlineStr">
        <is>
          <t>בדיקת חיתוך: כל חשבונית 5 ימים לפני ואחרי סוף תקופה מול תאריך אספקה/תחילת שירות, חתומה על ידי החשבת</t>
        </is>
      </c>
    </row>
    <row r="6">
      <c r="A6" s="5" t="inlineStr">
        <is>
          <t>הכנסות</t>
        </is>
      </c>
      <c r="B6" s="5" t="inlineStr">
        <is>
          <t>זיכויים לא מאושרים ללקוחות</t>
        </is>
      </c>
      <c r="C6" s="6" t="inlineStr">
        <is>
          <t>זיכוי מעל 10,000 דורש אישור סמנכ"ל מכירות במערכת</t>
        </is>
      </c>
      <c r="D6" s="5" t="inlineStr">
        <is>
          <t>תקין</t>
        </is>
      </c>
      <c r="E6" s="6" t="inlineStr"/>
    </row>
    <row r="7">
      <c r="A7" s="5" t="inlineStr">
        <is>
          <t>סגירה</t>
        </is>
      </c>
      <c r="B7" s="5" t="inlineStr">
        <is>
          <t>פקודות יומן ידניות שגויות או לא מורשות</t>
        </is>
      </c>
      <c r="C7" s="6" t="inlineStr">
        <is>
          <t>כל עובד בכספים יכול לרשום ולאשר פקודה</t>
        </is>
      </c>
      <c r="D7" s="5" t="inlineStr">
        <is>
          <t>חסר</t>
        </is>
      </c>
      <c r="E7" s="6" t="inlineStr">
        <is>
          <t>פקודה ידנית מעל סף נבדקת ומאושרת במערכת על ידי אדם אחר מהרושם. דוח חודשי של פקודות ידניות</t>
        </is>
      </c>
    </row>
    <row r="8">
      <c r="A8" s="5" t="inlineStr">
        <is>
          <t>סגירה</t>
        </is>
      </c>
      <c r="B8" s="5" t="inlineStr">
        <is>
          <t>התאמת בנק לא מבוצעת או לא נבדקת</t>
        </is>
      </c>
      <c r="C8" s="6" t="inlineStr">
        <is>
          <t>עוזרת החשבת מכינה ובודקת את ההתאמה בעצמה</t>
        </is>
      </c>
      <c r="D8" s="5" t="inlineStr">
        <is>
          <t>חסר</t>
        </is>
      </c>
      <c r="E8" s="6" t="inlineStr">
        <is>
          <t>הכנה על ידי אחת, סקירה וחתימה על ידי אחרת, עד WD3, עם טיפול בפריטים פתוחים מעל 30 יום</t>
        </is>
      </c>
    </row>
    <row r="9">
      <c r="A9" s="5" t="inlineStr">
        <is>
          <t>סגירה</t>
        </is>
      </c>
      <c r="B9" s="5" t="inlineStr">
        <is>
          <t>אומדנים שגויים (הפרשות)</t>
        </is>
      </c>
      <c r="C9" s="6" t="inlineStr">
        <is>
          <t>החשבת מכינה, סמנכ"ל כספים סוקר ומאשר חודשית עם תיעוד הנחות</t>
        </is>
      </c>
      <c r="D9" s="5" t="inlineStr">
        <is>
          <t>תקין</t>
        </is>
      </c>
      <c r="E9" s="6" t="inlineStr"/>
    </row>
    <row r="10">
      <c r="A10" s="5" t="inlineStr">
        <is>
          <t>שכר</t>
        </is>
      </c>
      <c r="B10" s="5" t="inlineStr">
        <is>
          <t>תשלום לעובד שעזב</t>
        </is>
      </c>
      <c r="C10" s="6" t="inlineStr">
        <is>
          <t>משאבי אנוש שולחים רשימת עוזבים, השכר מוודא לפני ריצה</t>
        </is>
      </c>
      <c r="D10" s="5" t="inlineStr">
        <is>
          <t>תקין</t>
        </is>
      </c>
      <c r="E10" s="6" t="inlineStr"/>
    </row>
    <row r="11">
      <c r="A11" s="5" t="inlineStr">
        <is>
          <t>מערכות (ITGC)</t>
        </is>
      </c>
      <c r="B11" s="5" t="inlineStr">
        <is>
          <t>הרשאות עודפות במערכת הכספים</t>
        </is>
      </c>
      <c r="C11" s="6" t="inlineStr">
        <is>
          <t>אין סקירת הרשאות תקופתית</t>
        </is>
      </c>
      <c r="D11" s="5" t="inlineStr">
        <is>
          <t>חסר</t>
        </is>
      </c>
      <c r="E11" s="6" t="inlineStr">
        <is>
          <t>סקירת הרשאות רבעונית על ידי בעלי תהליכים, עם תיעוד והסרת הרשאות. טיפול בקונפליקטים של פיצול סמכויות</t>
        </is>
      </c>
    </row>
    <row r="12">
      <c r="A12" s="5" t="inlineStr">
        <is>
          <t>מערכות (ITGC)</t>
        </is>
      </c>
      <c r="B12" s="5" t="inlineStr">
        <is>
          <t>שינוי לא מבוקר בהגדרות מערכת</t>
        </is>
      </c>
      <c r="C12" s="6" t="inlineStr">
        <is>
          <t>שינויים עוברים ניהול שינויים עם אישור ובדיקה</t>
        </is>
      </c>
      <c r="D12" s="5" t="inlineStr">
        <is>
          <t>תקין</t>
        </is>
      </c>
      <c r="E12" s="6" t="inlineStr"/>
    </row>
    <row r="13">
      <c r="A13" s="5" t="inlineStr">
        <is>
          <t>מזומנים</t>
        </is>
      </c>
      <c r="B13" s="5" t="inlineStr">
        <is>
          <t>משיכה לא מורשית</t>
        </is>
      </c>
      <c r="C13" s="6" t="inlineStr">
        <is>
          <t>תשלום מעל 50,000 דורש שתי חתימות בבנק</t>
        </is>
      </c>
      <c r="D13" s="5" t="inlineStr">
        <is>
          <t>תקין</t>
        </is>
      </c>
      <c r="E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4" t="inlineStr">
        <is>
          <t>משתמש</t>
        </is>
      </c>
      <c r="B1" s="4" t="inlineStr">
        <is>
          <t>הקמת ספק</t>
        </is>
      </c>
      <c r="C1" s="4" t="inlineStr">
        <is>
          <t>שינוי פרטי בנק</t>
        </is>
      </c>
      <c r="D1" s="4" t="inlineStr">
        <is>
          <t>אישור תשלום</t>
        </is>
      </c>
      <c r="E1" s="4" t="inlineStr">
        <is>
          <t>רישום פקודה</t>
        </is>
      </c>
      <c r="F1" s="4" t="inlineStr">
        <is>
          <t>אישור פקודה</t>
        </is>
      </c>
      <c r="G1" s="4" t="inlineStr">
        <is>
          <t>הפקת זיכוי</t>
        </is>
      </c>
      <c r="H1" s="4" t="inlineStr">
        <is>
          <t>רישום תקבולים</t>
        </is>
      </c>
      <c r="I1" s="4" t="inlineStr">
        <is>
          <t>קונפליקט?</t>
        </is>
      </c>
    </row>
    <row r="2">
      <c r="A2" s="5" t="inlineStr">
        <is>
          <t>רונית (מנה"ח ספקים)</t>
        </is>
      </c>
      <c r="B2" s="5" t="inlineStr">
        <is>
          <t>כן</t>
        </is>
      </c>
      <c r="C2" s="5" t="inlineStr">
        <is>
          <t>כן</t>
        </is>
      </c>
      <c r="D2" s="5" t="inlineStr">
        <is>
          <t>לא</t>
        </is>
      </c>
      <c r="E2" s="5" t="inlineStr">
        <is>
          <t>כן</t>
        </is>
      </c>
      <c r="F2" s="5" t="inlineStr">
        <is>
          <t>לא</t>
        </is>
      </c>
      <c r="G2" s="5" t="inlineStr">
        <is>
          <t>לא</t>
        </is>
      </c>
      <c r="H2" s="5" t="inlineStr">
        <is>
          <t>לא</t>
        </is>
      </c>
      <c r="I2" s="5">
        <f>IF(OR(AND(B2="כן",D2="כן"),AND(C2="כן",D2="כן"),AND(E2="כן",F2="כן"),AND(G2="כן",H2="כן")),"קונפליקט","")</f>
        <v/>
      </c>
    </row>
    <row r="3">
      <c r="A3" s="5" t="inlineStr">
        <is>
          <t>אבי (גזבר)</t>
        </is>
      </c>
      <c r="B3" s="5" t="inlineStr">
        <is>
          <t>לא</t>
        </is>
      </c>
      <c r="C3" s="5" t="inlineStr">
        <is>
          <t>לא</t>
        </is>
      </c>
      <c r="D3" s="5" t="inlineStr">
        <is>
          <t>כן</t>
        </is>
      </c>
      <c r="E3" s="5" t="inlineStr">
        <is>
          <t>לא</t>
        </is>
      </c>
      <c r="F3" s="5" t="inlineStr">
        <is>
          <t>לא</t>
        </is>
      </c>
      <c r="G3" s="5" t="inlineStr">
        <is>
          <t>לא</t>
        </is>
      </c>
      <c r="H3" s="5" t="inlineStr">
        <is>
          <t>לא</t>
        </is>
      </c>
      <c r="I3" s="5">
        <f>IF(OR(AND(B3="כן",D3="כן"),AND(C3="כן",D3="כן"),AND(E3="כן",F3="כן"),AND(G3="כן",H3="כן")),"קונפליקט","")</f>
        <v/>
      </c>
    </row>
    <row r="4">
      <c r="A4" s="5" t="inlineStr">
        <is>
          <t>שירן (מנה"ח לקוחות)</t>
        </is>
      </c>
      <c r="B4" s="5" t="inlineStr">
        <is>
          <t>לא</t>
        </is>
      </c>
      <c r="C4" s="5" t="inlineStr">
        <is>
          <t>לא</t>
        </is>
      </c>
      <c r="D4" s="5" t="inlineStr">
        <is>
          <t>לא</t>
        </is>
      </c>
      <c r="E4" s="5" t="inlineStr">
        <is>
          <t>כן</t>
        </is>
      </c>
      <c r="F4" s="5" t="inlineStr">
        <is>
          <t>לא</t>
        </is>
      </c>
      <c r="G4" s="5" t="inlineStr">
        <is>
          <t>כן</t>
        </is>
      </c>
      <c r="H4" s="5" t="inlineStr">
        <is>
          <t>כן</t>
        </is>
      </c>
      <c r="I4" s="5">
        <f>IF(OR(AND(B4="כן",D4="כן"),AND(C4="כן",D4="כן"),AND(E4="כן",F4="כן"),AND(G4="כן",H4="כן")),"קונפליקט","")</f>
        <v/>
      </c>
    </row>
    <row r="5">
      <c r="A5" s="5" t="inlineStr">
        <is>
          <t>יוסי (עוזר חשבת)</t>
        </is>
      </c>
      <c r="B5" s="5" t="inlineStr">
        <is>
          <t>לא</t>
        </is>
      </c>
      <c r="C5" s="5" t="inlineStr">
        <is>
          <t>לא</t>
        </is>
      </c>
      <c r="D5" s="5" t="inlineStr">
        <is>
          <t>לא</t>
        </is>
      </c>
      <c r="E5" s="5" t="inlineStr">
        <is>
          <t>כן</t>
        </is>
      </c>
      <c r="F5" s="5" t="inlineStr">
        <is>
          <t>כן</t>
        </is>
      </c>
      <c r="G5" s="5" t="inlineStr">
        <is>
          <t>לא</t>
        </is>
      </c>
      <c r="H5" s="5" t="inlineStr">
        <is>
          <t>לא</t>
        </is>
      </c>
      <c r="I5" s="5">
        <f>IF(OR(AND(B5="כן",D5="כן"),AND(C5="כן",D5="כן"),AND(E5="כן",F5="כן"),AND(G5="כן",H5="כן")),"קונפליקט","")</f>
        <v/>
      </c>
    </row>
    <row r="6">
      <c r="A6" s="5" t="inlineStr">
        <is>
          <t>מיכל (חשבת)</t>
        </is>
      </c>
      <c r="B6" s="5" t="inlineStr">
        <is>
          <t>לא</t>
        </is>
      </c>
      <c r="C6" s="5" t="inlineStr">
        <is>
          <t>לא</t>
        </is>
      </c>
      <c r="D6" s="5" t="inlineStr">
        <is>
          <t>לא</t>
        </is>
      </c>
      <c r="E6" s="5" t="inlineStr">
        <is>
          <t>לא</t>
        </is>
      </c>
      <c r="F6" s="5" t="inlineStr">
        <is>
          <t>כן</t>
        </is>
      </c>
      <c r="G6" s="5" t="inlineStr">
        <is>
          <t>לא</t>
        </is>
      </c>
      <c r="H6" s="5" t="inlineStr">
        <is>
          <t>לא</t>
        </is>
      </c>
      <c r="I6" s="5">
        <f>IF(OR(AND(B6="כן",D6="כן"),AND(C6="כן",D6="כן"),AND(E6="כן",F6="כן"),AND(G6="כן",H6="כן")),"קונפליקט","")</f>
        <v/>
      </c>
    </row>
    <row r="7">
      <c r="A7" s="5" t="inlineStr">
        <is>
          <t>דני (IT)</t>
        </is>
      </c>
      <c r="B7" s="5" t="inlineStr">
        <is>
          <t>כן</t>
        </is>
      </c>
      <c r="C7" s="5" t="inlineStr">
        <is>
          <t>כן</t>
        </is>
      </c>
      <c r="D7" s="5" t="inlineStr">
        <is>
          <t>כן</t>
        </is>
      </c>
      <c r="E7" s="5" t="inlineStr">
        <is>
          <t>לא</t>
        </is>
      </c>
      <c r="F7" s="5" t="inlineStr">
        <is>
          <t>לא</t>
        </is>
      </c>
      <c r="G7" s="5" t="inlineStr">
        <is>
          <t>לא</t>
        </is>
      </c>
      <c r="H7" s="5" t="inlineStr">
        <is>
          <t>לא</t>
        </is>
      </c>
      <c r="I7" s="5">
        <f>IF(OR(AND(B7="כן",D7="כן"),AND(C7="כן",D7="כן"),AND(E7="כן",F7="כן"),AND(G7="כן",H7="כן")),"קונפליקט","")</f>
        <v/>
      </c>
    </row>
    <row r="8">
      <c r="A8" s="5" t="inlineStr">
        <is>
          <t>ליאת (רכש)</t>
        </is>
      </c>
      <c r="B8" s="5" t="inlineStr">
        <is>
          <t>כן</t>
        </is>
      </c>
      <c r="C8" s="5" t="inlineStr">
        <is>
          <t>לא</t>
        </is>
      </c>
      <c r="D8" s="5" t="inlineStr">
        <is>
          <t>לא</t>
        </is>
      </c>
      <c r="E8" s="5" t="inlineStr">
        <is>
          <t>לא</t>
        </is>
      </c>
      <c r="F8" s="5" t="inlineStr">
        <is>
          <t>לא</t>
        </is>
      </c>
      <c r="G8" s="5" t="inlineStr">
        <is>
          <t>לא</t>
        </is>
      </c>
      <c r="H8" s="5" t="inlineStr">
        <is>
          <t>לא</t>
        </is>
      </c>
      <c r="I8" s="5">
        <f>IF(OR(AND(B8="כן",D8="כן"),AND(C8="כן",D8="כן"),AND(E8="כן",F8="כן"),AND(G8="כן",H8="כן")),"קונפליקט","")</f>
        <v/>
      </c>
    </row>
    <row r="9">
      <c r="A9" s="5" t="inlineStr">
        <is>
          <t>ערן (סמנכ"ל כספים)</t>
        </is>
      </c>
      <c r="B9" s="5" t="inlineStr">
        <is>
          <t>לא</t>
        </is>
      </c>
      <c r="C9" s="5" t="inlineStr">
        <is>
          <t>לא</t>
        </is>
      </c>
      <c r="D9" s="5" t="inlineStr">
        <is>
          <t>כן</t>
        </is>
      </c>
      <c r="E9" s="5" t="inlineStr">
        <is>
          <t>לא</t>
        </is>
      </c>
      <c r="F9" s="5" t="inlineStr">
        <is>
          <t>כן</t>
        </is>
      </c>
      <c r="G9" s="5" t="inlineStr">
        <is>
          <t>לא</t>
        </is>
      </c>
      <c r="H9" s="5" t="inlineStr">
        <is>
          <t>לא</t>
        </is>
      </c>
      <c r="I9" s="5">
        <f>IF(OR(AND(B9="כן",D9="כן"),AND(C9="כן",D9="כן"),AND(E9="כן",F9="כן"),AND(G9="כן",H9="כן")),"קונפליקט","")</f>
        <v/>
      </c>
    </row>
    <row r="10">
      <c r="A10" s="5" t="inlineStr">
        <is>
          <t>טל (מנה"ח כללית)</t>
        </is>
      </c>
      <c r="B10" s="5" t="inlineStr">
        <is>
          <t>לא</t>
        </is>
      </c>
      <c r="C10" s="5" t="inlineStr">
        <is>
          <t>לא</t>
        </is>
      </c>
      <c r="D10" s="5" t="inlineStr">
        <is>
          <t>לא</t>
        </is>
      </c>
      <c r="E10" s="5" t="inlineStr">
        <is>
          <t>כן</t>
        </is>
      </c>
      <c r="F10" s="5" t="inlineStr">
        <is>
          <t>לא</t>
        </is>
      </c>
      <c r="G10" s="5" t="inlineStr">
        <is>
          <t>לא</t>
        </is>
      </c>
      <c r="H10" s="5" t="inlineStr">
        <is>
          <t>לא</t>
        </is>
      </c>
      <c r="I10" s="5">
        <f>IF(OR(AND(B10="כן",D10="כן"),AND(C10="כן",D10="כן"),AND(E10="כן",F10="כן"),AND(G10="כן",H10="כן")),"קונפליקט","")</f>
        <v/>
      </c>
    </row>
    <row r="11">
      <c r="A11" s="5" t="inlineStr">
        <is>
          <t>נוי (שירות לקוחות)</t>
        </is>
      </c>
      <c r="B11" s="5" t="inlineStr">
        <is>
          <t>לא</t>
        </is>
      </c>
      <c r="C11" s="5" t="inlineStr">
        <is>
          <t>לא</t>
        </is>
      </c>
      <c r="D11" s="5" t="inlineStr">
        <is>
          <t>לא</t>
        </is>
      </c>
      <c r="E11" s="5" t="inlineStr">
        <is>
          <t>לא</t>
        </is>
      </c>
      <c r="F11" s="5" t="inlineStr">
        <is>
          <t>לא</t>
        </is>
      </c>
      <c r="G11" s="5" t="inlineStr">
        <is>
          <t>כן</t>
        </is>
      </c>
      <c r="H11" s="5" t="inlineStr">
        <is>
          <t>לא</t>
        </is>
      </c>
      <c r="I11" s="5">
        <f>IF(OR(AND(B11="כן",D11="כן"),AND(C11="כן",D11="כן"),AND(E11="כן",F11="כן"),AND(G11="כן",H11="כן")),"קונפליקט","")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7" t="inlineStr">
        <is>
          <t>שאלה</t>
        </is>
      </c>
      <c r="B1" s="7" t="inlineStr">
        <is>
          <t>התשובה שלך</t>
        </is>
      </c>
      <c r="C1" s="7" t="inlineStr">
        <is>
          <t>בדיקה</t>
        </is>
      </c>
    </row>
    <row r="2">
      <c r="A2" s="2" t="inlineStr">
        <is>
          <t>כמה בקרות במטריצה מתוכננות חסר?</t>
        </is>
      </c>
      <c r="B2" s="8">
        <f>COUNTIF('מטריצת בקרות'!D:D,"חסר")</f>
        <v/>
      </c>
      <c r="C2" s="9">
        <f>IF(B2="","",IF(ABS(B2-(5))&lt;=0.1,"✓ נכון","✗ עוד לא"))</f>
        <v/>
      </c>
    </row>
    <row r="3">
      <c r="A3" s="2" t="inlineStr">
        <is>
          <t>כמה משתמשים עם קונפליקט פיצול סמכויות?</t>
        </is>
      </c>
      <c r="B3" s="8">
        <f>COUNTIF('פיצול סמכויות'!I:I,"קונפליקט")</f>
        <v/>
      </c>
      <c r="C3" s="9">
        <f>IF(B3="","",IF(ABS(B3-(3))&lt;=0.1,"✓ נכון","✗ עוד לא"))</f>
        <v/>
      </c>
    </row>
    <row r="4">
      <c r="A4" s="2" t="inlineStr">
        <is>
          <t>איזה משתמש הכי מסוכן? (כתבי את השם הפרטי בלבד)</t>
        </is>
      </c>
      <c r="B4" s="10" t="inlineStr">
        <is>
          <t>דני</t>
        </is>
      </c>
      <c r="C4" s="9">
        <f>IF(B4="","",IF(TRIM(B4)="דני","✓ נכון","✗ עוד לא"))</f>
        <v/>
      </c>
    </row>
    <row r="6">
      <c r="A6" s="11" t="inlineStr">
        <is>
          <t>דני (IT) יכול להקים ספק, לשנות פרטי בנק ולאשר תשלום: שרשרת מלאה של מעילה. להסיר מיד ולבדוק רטרואקטיבית. משתמשי IT לא צריכים הרשאות עסקיות בסביבת הייצור.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