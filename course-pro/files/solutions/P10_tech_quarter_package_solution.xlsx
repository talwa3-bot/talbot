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אזן בוחן" sheetId="2" state="visible" r:id="rId2"/>
    <sheet name="תיקונים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10 | פרויקט גמר: חבילת רבעון 2 לוועדת הביקורת | נובורה (אלפי $)</t>
        </is>
      </c>
    </row>
    <row r="3">
      <c r="A3" s="2" t="inlineStr">
        <is>
          <t>הסיפור: שבועיים לפני פרסום הדוח הרבעוני (10-Q). קיבלת מאזן בוחן מאוחד לפני תיקונים. יש בו 5 בעיות.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2" t="inlineStr">
        <is>
          <t>הבעיות שצריך לטפל בהן (כל אחת בגיליון "תיקונים"):</t>
        </is>
      </c>
    </row>
    <row r="8">
      <c r="A8" s="2" t="inlineStr">
        <is>
          <t>1. חוזה של 420 שמתחיל ב-1.7 הוכר כהכנסה ברבעון 2.</t>
        </is>
      </c>
    </row>
    <row r="9">
      <c r="A9" s="2" t="inlineStr">
        <is>
          <t>2. עובדת במכירות עזבה. לא בוטלה הוצאת מניות של 180 על חלק שלא הבשיל.</t>
        </is>
      </c>
    </row>
    <row r="10">
      <c r="A10" s="2" t="inlineStr">
        <is>
          <t>3. לא נרשמה הפרשה לבונוס לרבעון 2: 600 (מחקר ופיתוח 300, שיווק ומכירה 180, הנהלה 120).</t>
        </is>
      </c>
    </row>
    <row r="11">
      <c r="A11" s="2" t="inlineStr">
        <is>
          <t>4. 350 מהתוכנה שהוונה הן עלויות בשלב המקדמי של הפרויקט. לפי ASC 350-40 הן הוצאת מחקר ופיתוח.</t>
        </is>
      </c>
    </row>
    <row r="12">
      <c r="A12" s="2" t="inlineStr">
        <is>
          <t>5. חייבים בין-חברתיים 1,250 מול זכאים 1,180. ההפרש: תשלום של Inc. ב-29.6 שהגיע ל-Ltd. ב-1.7 (מזומן בדרך).</t>
        </is>
      </c>
    </row>
    <row r="13">
      <c r="A13" s="3" t="inlineStr">
        <is>
          <t>משימה: רווח תפעולי מתוקן (GAAP), ורווח תפעולי Non-GAAP (בלי תגמול מבוסס מניות). הוצאת מניות לפני תיקון: 2,000.</t>
        </is>
      </c>
    </row>
    <row r="14">
      <c r="A14" s="2" t="inlineStr">
        <is>
          <t>בונוס: כתבי 5 שורות לוועדת הביקורת. מה מצאנו, מה תיקנו, איזו בקרה נוסיף.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</cols>
  <sheetData>
    <row r="1">
      <c r="A1" s="4" t="inlineStr">
        <is>
          <t>חשבון</t>
        </is>
      </c>
      <c r="B1" s="4" t="inlineStr">
        <is>
          <t>סוג</t>
        </is>
      </c>
      <c r="C1" s="4" t="inlineStr">
        <is>
          <t>יתרה (חובה + / זכות -) אלפי $</t>
        </is>
      </c>
    </row>
    <row r="2">
      <c r="A2" s="5" t="inlineStr">
        <is>
          <t>הכנסות מנויים</t>
        </is>
      </c>
      <c r="B2" s="5" t="inlineStr">
        <is>
          <t>רוו"ה</t>
        </is>
      </c>
      <c r="C2" s="6" t="n">
        <v>-14850</v>
      </c>
    </row>
    <row r="3">
      <c r="A3" s="5" t="inlineStr">
        <is>
          <t>עלות ההכנסות</t>
        </is>
      </c>
      <c r="B3" s="5" t="inlineStr">
        <is>
          <t>רוו"ה</t>
        </is>
      </c>
      <c r="C3" s="6" t="n">
        <v>3120</v>
      </c>
    </row>
    <row r="4">
      <c r="A4" s="5" t="inlineStr">
        <is>
          <t>מחקר ופיתוח</t>
        </is>
      </c>
      <c r="B4" s="5" t="inlineStr">
        <is>
          <t>רוו"ה</t>
        </is>
      </c>
      <c r="C4" s="6" t="n">
        <v>5400</v>
      </c>
    </row>
    <row r="5">
      <c r="A5" s="5" t="inlineStr">
        <is>
          <t>שיווק ומכירה</t>
        </is>
      </c>
      <c r="B5" s="5" t="inlineStr">
        <is>
          <t>רוו"ה</t>
        </is>
      </c>
      <c r="C5" s="6" t="n">
        <v>4900</v>
      </c>
    </row>
    <row r="6">
      <c r="A6" s="5" t="inlineStr">
        <is>
          <t>הנהלה וכלליות</t>
        </is>
      </c>
      <c r="B6" s="5" t="inlineStr">
        <is>
          <t>רוו"ה</t>
        </is>
      </c>
      <c r="C6" s="6" t="n">
        <v>2150</v>
      </c>
    </row>
    <row r="7">
      <c r="A7" s="5" t="inlineStr">
        <is>
          <t>הכנסות מימון</t>
        </is>
      </c>
      <c r="B7" s="5" t="inlineStr">
        <is>
          <t>רוו"ה</t>
        </is>
      </c>
      <c r="C7" s="6" t="n">
        <v>-380</v>
      </c>
    </row>
    <row r="8">
      <c r="A8" s="5" t="inlineStr">
        <is>
          <t>מסים על הכנסה</t>
        </is>
      </c>
      <c r="B8" s="5" t="inlineStr">
        <is>
          <t>רוו"ה</t>
        </is>
      </c>
      <c r="C8" s="6" t="n">
        <v>150</v>
      </c>
    </row>
    <row r="9">
      <c r="A9" s="5" t="inlineStr">
        <is>
          <t>מזומנים</t>
        </is>
      </c>
      <c r="B9" s="5" t="inlineStr">
        <is>
          <t>מאזן</t>
        </is>
      </c>
      <c r="C9" s="6" t="n">
        <v>38000</v>
      </c>
    </row>
    <row r="10">
      <c r="A10" s="5" t="inlineStr">
        <is>
          <t>פיקדונות</t>
        </is>
      </c>
      <c r="B10" s="5" t="inlineStr">
        <is>
          <t>מאזן</t>
        </is>
      </c>
      <c r="C10" s="6" t="n">
        <v>25000</v>
      </c>
    </row>
    <row r="11">
      <c r="A11" s="5" t="inlineStr">
        <is>
          <t>לקוחות</t>
        </is>
      </c>
      <c r="B11" s="5" t="inlineStr">
        <is>
          <t>מאזן</t>
        </is>
      </c>
      <c r="C11" s="6" t="n">
        <v>6200</v>
      </c>
    </row>
    <row r="12">
      <c r="A12" s="5" t="inlineStr">
        <is>
          <t>חייבים בין-חברתיים (Inc.)</t>
        </is>
      </c>
      <c r="B12" s="5" t="inlineStr">
        <is>
          <t>מאזן</t>
        </is>
      </c>
      <c r="C12" s="6" t="n">
        <v>1250</v>
      </c>
    </row>
    <row r="13">
      <c r="A13" s="5" t="inlineStr">
        <is>
          <t>הוצאות מראש</t>
        </is>
      </c>
      <c r="B13" s="5" t="inlineStr">
        <is>
          <t>מאזן</t>
        </is>
      </c>
      <c r="C13" s="6" t="n">
        <v>1400</v>
      </c>
    </row>
    <row r="14">
      <c r="A14" s="5" t="inlineStr">
        <is>
          <t>תוכנה שהוונה</t>
        </is>
      </c>
      <c r="B14" s="5" t="inlineStr">
        <is>
          <t>מאזן</t>
        </is>
      </c>
      <c r="C14" s="6" t="n">
        <v>2900</v>
      </c>
    </row>
    <row r="15">
      <c r="A15" s="5" t="inlineStr">
        <is>
          <t>עמלות שהוונו</t>
        </is>
      </c>
      <c r="B15" s="5" t="inlineStr">
        <is>
          <t>מאזן</t>
        </is>
      </c>
      <c r="C15" s="6" t="n">
        <v>3100</v>
      </c>
    </row>
    <row r="16">
      <c r="A16" s="5" t="inlineStr">
        <is>
          <t>רכוש קבוע</t>
        </is>
      </c>
      <c r="B16" s="5" t="inlineStr">
        <is>
          <t>מאזן</t>
        </is>
      </c>
      <c r="C16" s="6" t="n">
        <v>1800</v>
      </c>
    </row>
    <row r="17">
      <c r="A17" s="5" t="inlineStr">
        <is>
          <t>נכס זכות שימוש</t>
        </is>
      </c>
      <c r="B17" s="5" t="inlineStr">
        <is>
          <t>מאזן</t>
        </is>
      </c>
      <c r="C17" s="6" t="n">
        <v>4200</v>
      </c>
    </row>
    <row r="18">
      <c r="A18" s="5" t="inlineStr">
        <is>
          <t>ספקים</t>
        </is>
      </c>
      <c r="B18" s="5" t="inlineStr">
        <is>
          <t>מאזן</t>
        </is>
      </c>
      <c r="C18" s="6" t="n">
        <v>-2100</v>
      </c>
    </row>
    <row r="19">
      <c r="A19" s="5" t="inlineStr">
        <is>
          <t>הוצאות לשלם</t>
        </is>
      </c>
      <c r="B19" s="5" t="inlineStr">
        <is>
          <t>מאזן</t>
        </is>
      </c>
      <c r="C19" s="6" t="n">
        <v>-3900</v>
      </c>
    </row>
    <row r="20">
      <c r="A20" s="5" t="inlineStr">
        <is>
          <t>זכאים בין-חברתיים (Ltd.)</t>
        </is>
      </c>
      <c r="B20" s="5" t="inlineStr">
        <is>
          <t>מאזן</t>
        </is>
      </c>
      <c r="C20" s="6" t="n">
        <v>-1180</v>
      </c>
    </row>
    <row r="21">
      <c r="A21" s="5" t="inlineStr">
        <is>
          <t>הכנסות נדחות</t>
        </is>
      </c>
      <c r="B21" s="5" t="inlineStr">
        <is>
          <t>מאזן</t>
        </is>
      </c>
      <c r="C21" s="6" t="n">
        <v>-21500</v>
      </c>
    </row>
    <row r="22">
      <c r="A22" s="5" t="inlineStr">
        <is>
          <t>התחייבות חכירה</t>
        </is>
      </c>
      <c r="B22" s="5" t="inlineStr">
        <is>
          <t>מאזן</t>
        </is>
      </c>
      <c r="C22" s="6" t="n">
        <v>-4500</v>
      </c>
    </row>
    <row r="23">
      <c r="A23" s="5" t="inlineStr">
        <is>
          <t>הון עצמי</t>
        </is>
      </c>
      <c r="B23" s="5" t="inlineStr">
        <is>
          <t>מאזן</t>
        </is>
      </c>
      <c r="C23" s="6" t="n">
        <v>-51160</v>
      </c>
    </row>
    <row r="24">
      <c r="C24" s="7">
        <f>SUM(C2:C23)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</cols>
  <sheetData>
    <row r="1">
      <c r="A1" s="4" t="inlineStr">
        <is>
          <t>תיקון</t>
        </is>
      </c>
      <c r="B1" s="4" t="inlineStr">
        <is>
          <t>חשבון</t>
        </is>
      </c>
      <c r="C1" s="4" t="inlineStr">
        <is>
          <t>חובה</t>
        </is>
      </c>
      <c r="D1" s="4" t="inlineStr">
        <is>
          <t>זכות</t>
        </is>
      </c>
    </row>
    <row r="2">
      <c r="A2" s="5" t="n">
        <v>1</v>
      </c>
      <c r="B2" s="5" t="inlineStr">
        <is>
          <t>הכנסות מנויים</t>
        </is>
      </c>
      <c r="C2" s="6" t="n">
        <v>420</v>
      </c>
      <c r="D2" s="6" t="n"/>
    </row>
    <row r="3">
      <c r="A3" s="5" t="n">
        <v>1</v>
      </c>
      <c r="B3" s="5" t="inlineStr">
        <is>
          <t>הכנסות נדחות</t>
        </is>
      </c>
      <c r="C3" s="6" t="n"/>
      <c r="D3" s="6" t="n">
        <v>420</v>
      </c>
    </row>
    <row r="4">
      <c r="A4" s="5" t="n">
        <v>2</v>
      </c>
      <c r="B4" s="5" t="inlineStr">
        <is>
          <t>הון עצמי (APIC)</t>
        </is>
      </c>
      <c r="C4" s="6" t="n">
        <v>180</v>
      </c>
      <c r="D4" s="6" t="n"/>
    </row>
    <row r="5">
      <c r="A5" s="5" t="n">
        <v>2</v>
      </c>
      <c r="B5" s="5" t="inlineStr">
        <is>
          <t>שיווק ומכירה</t>
        </is>
      </c>
      <c r="C5" s="6" t="n"/>
      <c r="D5" s="6" t="n">
        <v>180</v>
      </c>
    </row>
    <row r="6">
      <c r="A6" s="5" t="n">
        <v>3</v>
      </c>
      <c r="B6" s="5" t="inlineStr">
        <is>
          <t>מחקר ופיתוח</t>
        </is>
      </c>
      <c r="C6" s="6" t="n">
        <v>300</v>
      </c>
      <c r="D6" s="6" t="n"/>
    </row>
    <row r="7">
      <c r="A7" s="5" t="n">
        <v>3</v>
      </c>
      <c r="B7" s="5" t="inlineStr">
        <is>
          <t>שיווק ומכירה</t>
        </is>
      </c>
      <c r="C7" s="6" t="n">
        <v>180</v>
      </c>
      <c r="D7" s="6" t="n"/>
    </row>
    <row r="8">
      <c r="A8" s="5" t="n">
        <v>3</v>
      </c>
      <c r="B8" s="5" t="inlineStr">
        <is>
          <t>הנהלה וכלליות</t>
        </is>
      </c>
      <c r="C8" s="6" t="n">
        <v>120</v>
      </c>
      <c r="D8" s="6" t="n"/>
    </row>
    <row r="9">
      <c r="A9" s="5" t="n">
        <v>3</v>
      </c>
      <c r="B9" s="5" t="inlineStr">
        <is>
          <t>הוצאות לשלם</t>
        </is>
      </c>
      <c r="C9" s="6" t="n"/>
      <c r="D9" s="6" t="n">
        <v>600</v>
      </c>
    </row>
    <row r="10">
      <c r="A10" s="5" t="n">
        <v>4</v>
      </c>
      <c r="B10" s="5" t="inlineStr">
        <is>
          <t>מחקר ופיתוח</t>
        </is>
      </c>
      <c r="C10" s="6" t="n">
        <v>350</v>
      </c>
      <c r="D10" s="6" t="n"/>
    </row>
    <row r="11">
      <c r="A11" s="5" t="n">
        <v>4</v>
      </c>
      <c r="B11" s="5" t="inlineStr">
        <is>
          <t>תוכנה שהוונה</t>
        </is>
      </c>
      <c r="C11" s="6" t="n"/>
      <c r="D11" s="6" t="n">
        <v>350</v>
      </c>
    </row>
    <row r="12">
      <c r="A12" s="5" t="n">
        <v>5</v>
      </c>
      <c r="B12" s="5" t="inlineStr">
        <is>
          <t>מזומנים (בדרך)</t>
        </is>
      </c>
      <c r="C12" s="6" t="n">
        <v>70</v>
      </c>
      <c r="D12" s="6" t="n"/>
    </row>
    <row r="13">
      <c r="A13" s="5" t="n">
        <v>5</v>
      </c>
      <c r="B13" s="5" t="inlineStr">
        <is>
          <t>חייבים בין-חברתיים (Inc.)</t>
        </is>
      </c>
      <c r="C13" s="6" t="n"/>
      <c r="D13" s="6" t="n">
        <v>70</v>
      </c>
    </row>
    <row r="14">
      <c r="A14" s="5" t="n">
        <v>5</v>
      </c>
      <c r="B14" s="5" t="inlineStr">
        <is>
          <t>זכאים בין-חברתיים (Ltd.)</t>
        </is>
      </c>
      <c r="C14" s="6" t="n">
        <v>1180</v>
      </c>
      <c r="D14" s="6" t="n"/>
    </row>
    <row r="15">
      <c r="A15" s="5" t="n">
        <v>5</v>
      </c>
      <c r="B15" s="5" t="inlineStr">
        <is>
          <t>חייבים בין-חברתיים (Inc.)</t>
        </is>
      </c>
      <c r="C15" s="6" t="n"/>
      <c r="D15" s="6" t="n">
        <v>1180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8" t="inlineStr">
        <is>
          <t>שאלה</t>
        </is>
      </c>
      <c r="B1" s="8" t="inlineStr">
        <is>
          <t>התשובה שלך</t>
        </is>
      </c>
      <c r="C1" s="8" t="inlineStr">
        <is>
          <t>בדיקה</t>
        </is>
      </c>
    </row>
    <row r="2">
      <c r="A2" s="2" t="inlineStr">
        <is>
          <t>הכנסות מתוקנות (אלפי $)</t>
        </is>
      </c>
      <c r="B2" s="9" t="n">
        <v>14430</v>
      </c>
      <c r="C2" s="10">
        <f>IF(B2="","",IF(ABS(B2-(14430))&lt;=1.0,"✓ נכון","✗ עוד לא"))</f>
        <v/>
      </c>
    </row>
    <row r="3">
      <c r="A3" s="2" t="inlineStr">
        <is>
          <t>מחקר ופיתוח מתוקן</t>
        </is>
      </c>
      <c r="B3" s="9" t="n">
        <v>6050</v>
      </c>
      <c r="C3" s="10">
        <f>IF(B3="","",IF(ABS(B3-(6050))&lt;=1.0,"✓ נכון","✗ עוד לא"))</f>
        <v/>
      </c>
    </row>
    <row r="4">
      <c r="A4" s="2" t="inlineStr">
        <is>
          <t>שיווק ומכירה מתוקן</t>
        </is>
      </c>
      <c r="B4" s="9" t="n">
        <v>4900</v>
      </c>
      <c r="C4" s="10">
        <f>IF(B4="","",IF(ABS(B4-(4900))&lt;=1.0,"✓ נכון","✗ עוד לא"))</f>
        <v/>
      </c>
    </row>
    <row r="5">
      <c r="A5" s="2" t="inlineStr">
        <is>
          <t>הנהלה וכלליות מתוקן</t>
        </is>
      </c>
      <c r="B5" s="9" t="n">
        <v>2270</v>
      </c>
      <c r="C5" s="10">
        <f>IF(B5="","",IF(ABS(B5-(2270))&lt;=1.0,"✓ נכון","✗ עוד לא"))</f>
        <v/>
      </c>
    </row>
    <row r="6">
      <c r="A6" s="2" t="inlineStr">
        <is>
          <t>רווח (הפסד) תפעולי GAAP מתוקן</t>
        </is>
      </c>
      <c r="B6" s="9" t="n">
        <v>-1910</v>
      </c>
      <c r="C6" s="10">
        <f>IF(B6="","",IF(ABS(B6-(-1910))&lt;=1.0,"✓ נכון","✗ עוד לא"))</f>
        <v/>
      </c>
    </row>
    <row r="7">
      <c r="A7" s="2" t="inlineStr">
        <is>
          <t>הוצאת תגמול מבוסס מניות מתוקנת</t>
        </is>
      </c>
      <c r="B7" s="9" t="n">
        <v>1820</v>
      </c>
      <c r="C7" s="10">
        <f>IF(B7="","",IF(ABS(B7-(1820))&lt;=1.0,"✓ נכון","✗ עוד לא"))</f>
        <v/>
      </c>
    </row>
    <row r="8">
      <c r="A8" s="2" t="inlineStr">
        <is>
          <t>רווח (הפסד) תפעולי Non-GAAP</t>
        </is>
      </c>
      <c r="B8" s="9" t="n">
        <v>-90</v>
      </c>
      <c r="C8" s="10">
        <f>IF(B8="","",IF(ABS(B8-(-90))&lt;=1.0,"✓ נכון","✗ עוד לא"))</f>
        <v/>
      </c>
    </row>
    <row r="9">
      <c r="A9" s="2" t="inlineStr">
        <is>
          <t>יתרת בין-חברתי אחרי ביטול (צריך 0)</t>
        </is>
      </c>
      <c r="B9" s="9" t="n">
        <v>0</v>
      </c>
      <c r="C9" s="10">
        <f>IF(B9="","",IF(ABS(B9-(0))&lt;=1.0,"✓ נכון","✗ עוד לא"))</f>
        <v/>
      </c>
    </row>
    <row r="11">
      <c r="A11" s="11" t="inlineStr">
        <is>
          <t>טיוטה לוועדת הביקורת: ברבעון זוהו חמישה תיקונים לפני הפרסום, בהשפעה נטו של 1,190 אלף $ על ההפסד התפעולי. העיקריים: חיתוך הכנסות (420) והפרשת בונוס (600). אין השפעה על המזומנים. בקרות שנוסיף: בדיקת חיתוך אוטומטית לחוזים שמתחילים בחודש העוקב, התאמה בין-חברתית עד WD2, ודוח עוזבים משאבי אנוש לחשבות כחלק מצ'קליסט הסגירה.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