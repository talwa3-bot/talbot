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זרים" sheetId="2" state="visible" r:id="rId2"/>
    <sheet name="גידור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0.0"/>
    <numFmt numFmtId="166" formatCode="0.0%"/>
    <numFmt numFmtId="167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4 | תזרים, דולר-שקל וגידור | נובורה טכנולוגיות</t>
        </is>
      </c>
    </row>
    <row r="3">
      <c r="A3" s="2" t="inlineStr">
        <is>
          <t>הסיפור: הדירקטוריון שואל: "כמה זמן הכסף מחזיק, ומה קורה לנו אם השקל מתחזק עוד 5%?"</t>
        </is>
      </c>
    </row>
    <row r="4">
      <c r="A4" s="2" t="inlineStr">
        <is>
          <t>רוב ההכנסות בדולר, רוב העלויות (שכר) בשקל. כל התחזקות של השקל מייקרת לנו את השכר בדולרים.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("תזרים"): השלימי תזרים 13 שבועות במיליוני דולרים. שכר בשקלים מומר בשער 3.62.</t>
        </is>
      </c>
    </row>
    <row r="9">
      <c r="A9" s="3" t="inlineStr">
        <is>
          <t>משימה 2 ("גידור"): יחס גידור, ורגישות להתחזקות של 5% בשקל על החלק שלא גודר.</t>
        </is>
      </c>
    </row>
    <row r="10">
      <c r="A10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8" customWidth="1" min="9" max="9"/>
    <col width="10" customWidth="1" min="10" max="10"/>
  </cols>
  <sheetData>
    <row r="1">
      <c r="A1" s="4" t="inlineStr">
        <is>
          <t>שבוע</t>
        </is>
      </c>
      <c r="B1" s="4" t="inlineStr">
        <is>
          <t>פתיחה $M</t>
        </is>
      </c>
      <c r="C1" s="4" t="inlineStr">
        <is>
          <t>גבייה $M</t>
        </is>
      </c>
      <c r="D1" s="4" t="inlineStr">
        <is>
          <t>שכר ₪M</t>
        </is>
      </c>
      <c r="E1" s="4" t="inlineStr">
        <is>
          <t>ספקים ₪M</t>
        </is>
      </c>
      <c r="F1" s="4" t="inlineStr">
        <is>
          <t>ספקים $M</t>
        </is>
      </c>
      <c r="G1" s="4" t="inlineStr">
        <is>
          <t>מסים $M</t>
        </is>
      </c>
      <c r="H1" s="4" t="inlineStr">
        <is>
          <t>השקעות $M</t>
        </is>
      </c>
      <c r="I1" s="4" t="inlineStr">
        <is>
          <t>תשלומים בשקל בדולר $M</t>
        </is>
      </c>
      <c r="J1" s="4" t="inlineStr">
        <is>
          <t>סגירה $M</t>
        </is>
      </c>
      <c r="P1" t="inlineStr">
        <is>
          <t>שער ₪/$</t>
        </is>
      </c>
      <c r="Q1" t="n">
        <v>3.62</v>
      </c>
    </row>
    <row r="2">
      <c r="A2" s="5" t="inlineStr">
        <is>
          <t>שבוע 1</t>
        </is>
      </c>
      <c r="B2" s="6" t="n">
        <v>38</v>
      </c>
      <c r="C2" s="6" t="n">
        <v>5.7</v>
      </c>
      <c r="D2" s="6" t="n">
        <v>0</v>
      </c>
      <c r="E2" s="6" t="n">
        <v>1.1</v>
      </c>
      <c r="F2" s="6" t="n">
        <v>0.45</v>
      </c>
      <c r="G2" s="6" t="n">
        <v>0</v>
      </c>
      <c r="H2" s="6" t="n">
        <v>0</v>
      </c>
      <c r="I2" s="6">
        <f>D2/$Q$1+E2/$Q$1</f>
        <v/>
      </c>
      <c r="J2" s="6">
        <f>B2+C2-I2-F2-G2-H2</f>
        <v/>
      </c>
    </row>
    <row r="3">
      <c r="A3" s="5" t="inlineStr">
        <is>
          <t>שבוע 2</t>
        </is>
      </c>
      <c r="B3" s="6">
        <f>J2</f>
        <v/>
      </c>
      <c r="C3" s="6" t="n">
        <v>3.7</v>
      </c>
      <c r="D3" s="6" t="n">
        <v>16.5</v>
      </c>
      <c r="E3" s="6" t="n">
        <v>1.1</v>
      </c>
      <c r="F3" s="6" t="n">
        <v>0.45</v>
      </c>
      <c r="G3" s="6" t="n">
        <v>0</v>
      </c>
      <c r="H3" s="6" t="n">
        <v>0</v>
      </c>
      <c r="I3" s="6">
        <f>D3/$Q$1+E3/$Q$1</f>
        <v/>
      </c>
      <c r="J3" s="6">
        <f>B3+C3-I3-F3-G3-H3</f>
        <v/>
      </c>
    </row>
    <row r="4">
      <c r="A4" s="5" t="inlineStr">
        <is>
          <t>שבוע 3</t>
        </is>
      </c>
      <c r="B4" s="6">
        <f>J3</f>
        <v/>
      </c>
      <c r="C4" s="6" t="n">
        <v>1.9</v>
      </c>
      <c r="D4" s="6" t="n">
        <v>0</v>
      </c>
      <c r="E4" s="6" t="n">
        <v>1.1</v>
      </c>
      <c r="F4" s="6" t="n">
        <v>0.45</v>
      </c>
      <c r="G4" s="6" t="n">
        <v>0.9</v>
      </c>
      <c r="H4" s="6" t="n">
        <v>0</v>
      </c>
      <c r="I4" s="6">
        <f>D4/$Q$1+E4/$Q$1</f>
        <v/>
      </c>
      <c r="J4" s="6">
        <f>B4+C4-I4-F4-G4-H4</f>
        <v/>
      </c>
    </row>
    <row r="5">
      <c r="A5" s="5" t="inlineStr">
        <is>
          <t>שבוע 4</t>
        </is>
      </c>
      <c r="B5" s="6">
        <f>J4</f>
        <v/>
      </c>
      <c r="C5" s="6" t="n">
        <v>1.4</v>
      </c>
      <c r="D5" s="6" t="n">
        <v>0</v>
      </c>
      <c r="E5" s="6" t="n">
        <v>1.1</v>
      </c>
      <c r="F5" s="6" t="n">
        <v>0.45</v>
      </c>
      <c r="G5" s="6" t="n">
        <v>0</v>
      </c>
      <c r="H5" s="6" t="n">
        <v>0.6</v>
      </c>
      <c r="I5" s="6">
        <f>D5/$Q$1+E5/$Q$1</f>
        <v/>
      </c>
      <c r="J5" s="6">
        <f>B5+C5-I5-F5-G5-H5</f>
        <v/>
      </c>
    </row>
    <row r="6">
      <c r="A6" s="5" t="inlineStr">
        <is>
          <t>שבוע 5</t>
        </is>
      </c>
      <c r="B6" s="6">
        <f>J5</f>
        <v/>
      </c>
      <c r="C6" s="6" t="n">
        <v>1.1</v>
      </c>
      <c r="D6" s="6" t="n">
        <v>0</v>
      </c>
      <c r="E6" s="6" t="n">
        <v>1.1</v>
      </c>
      <c r="F6" s="6" t="n">
        <v>0.45</v>
      </c>
      <c r="G6" s="6" t="n">
        <v>0</v>
      </c>
      <c r="H6" s="6" t="n">
        <v>0</v>
      </c>
      <c r="I6" s="6">
        <f>D6/$Q$1+E6/$Q$1</f>
        <v/>
      </c>
      <c r="J6" s="6">
        <f>B6+C6-I6-F6-G6-H6</f>
        <v/>
      </c>
    </row>
    <row r="7">
      <c r="A7" s="5" t="inlineStr">
        <is>
          <t>שבוע 6</t>
        </is>
      </c>
      <c r="B7" s="6">
        <f>J6</f>
        <v/>
      </c>
      <c r="C7" s="6" t="n">
        <v>1</v>
      </c>
      <c r="D7" s="6" t="n">
        <v>16.5</v>
      </c>
      <c r="E7" s="6" t="n">
        <v>1.1</v>
      </c>
      <c r="F7" s="6" t="n">
        <v>0.45</v>
      </c>
      <c r="G7" s="6" t="n">
        <v>0</v>
      </c>
      <c r="H7" s="6" t="n">
        <v>0</v>
      </c>
      <c r="I7" s="6">
        <f>D7/$Q$1+E7/$Q$1</f>
        <v/>
      </c>
      <c r="J7" s="6">
        <f>B7+C7-I7-F7-G7-H7</f>
        <v/>
      </c>
    </row>
    <row r="8">
      <c r="A8" s="5" t="inlineStr">
        <is>
          <t>שבוע 7</t>
        </is>
      </c>
      <c r="B8" s="6">
        <f>J7</f>
        <v/>
      </c>
      <c r="C8" s="6" t="n">
        <v>0.9</v>
      </c>
      <c r="D8" s="6" t="n">
        <v>0</v>
      </c>
      <c r="E8" s="6" t="n">
        <v>1.1</v>
      </c>
      <c r="F8" s="6" t="n">
        <v>0.45</v>
      </c>
      <c r="G8" s="6" t="n">
        <v>0.9</v>
      </c>
      <c r="H8" s="6" t="n">
        <v>0</v>
      </c>
      <c r="I8" s="6">
        <f>D8/$Q$1+E8/$Q$1</f>
        <v/>
      </c>
      <c r="J8" s="6">
        <f>B8+C8-I8-F8-G8-H8</f>
        <v/>
      </c>
    </row>
    <row r="9">
      <c r="A9" s="5" t="inlineStr">
        <is>
          <t>שבוע 8</t>
        </is>
      </c>
      <c r="B9" s="6">
        <f>J8</f>
        <v/>
      </c>
      <c r="C9" s="6" t="n">
        <v>1.1</v>
      </c>
      <c r="D9" s="6" t="n">
        <v>0</v>
      </c>
      <c r="E9" s="6" t="n">
        <v>1.1</v>
      </c>
      <c r="F9" s="6" t="n">
        <v>0.45</v>
      </c>
      <c r="G9" s="6" t="n">
        <v>0</v>
      </c>
      <c r="H9" s="6" t="n">
        <v>0</v>
      </c>
      <c r="I9" s="6">
        <f>D9/$Q$1+E9/$Q$1</f>
        <v/>
      </c>
      <c r="J9" s="6">
        <f>B9+C9-I9-F9-G9-H9</f>
        <v/>
      </c>
    </row>
    <row r="10">
      <c r="A10" s="5" t="inlineStr">
        <is>
          <t>שבוע 9</t>
        </is>
      </c>
      <c r="B10" s="6">
        <f>J9</f>
        <v/>
      </c>
      <c r="C10" s="6" t="n">
        <v>0.8</v>
      </c>
      <c r="D10" s="6" t="n">
        <v>0</v>
      </c>
      <c r="E10" s="6" t="n">
        <v>1.1</v>
      </c>
      <c r="F10" s="6" t="n">
        <v>0.45</v>
      </c>
      <c r="G10" s="6" t="n">
        <v>0</v>
      </c>
      <c r="H10" s="6" t="n">
        <v>0</v>
      </c>
      <c r="I10" s="6">
        <f>D10/$Q$1+E10/$Q$1</f>
        <v/>
      </c>
      <c r="J10" s="6">
        <f>B10+C10-I10-F10-G10-H10</f>
        <v/>
      </c>
    </row>
    <row r="11">
      <c r="A11" s="5" t="inlineStr">
        <is>
          <t>שבוע 10</t>
        </is>
      </c>
      <c r="B11" s="6">
        <f>J10</f>
        <v/>
      </c>
      <c r="C11" s="6" t="n">
        <v>0.8</v>
      </c>
      <c r="D11" s="6" t="n">
        <v>16.5</v>
      </c>
      <c r="E11" s="6" t="n">
        <v>1.1</v>
      </c>
      <c r="F11" s="6" t="n">
        <v>0.45</v>
      </c>
      <c r="G11" s="6" t="n">
        <v>0</v>
      </c>
      <c r="H11" s="6" t="n">
        <v>0</v>
      </c>
      <c r="I11" s="6">
        <f>D11/$Q$1+E11/$Q$1</f>
        <v/>
      </c>
      <c r="J11" s="6">
        <f>B11+C11-I11-F11-G11-H11</f>
        <v/>
      </c>
    </row>
    <row r="12">
      <c r="A12" s="5" t="inlineStr">
        <is>
          <t>שבוע 11</t>
        </is>
      </c>
      <c r="B12" s="6">
        <f>J11</f>
        <v/>
      </c>
      <c r="C12" s="6" t="n">
        <v>0.7</v>
      </c>
      <c r="D12" s="6" t="n">
        <v>0</v>
      </c>
      <c r="E12" s="6" t="n">
        <v>1.1</v>
      </c>
      <c r="F12" s="6" t="n">
        <v>0.45</v>
      </c>
      <c r="G12" s="6" t="n">
        <v>0.9</v>
      </c>
      <c r="H12" s="6" t="n">
        <v>0</v>
      </c>
      <c r="I12" s="6">
        <f>D12/$Q$1+E12/$Q$1</f>
        <v/>
      </c>
      <c r="J12" s="6">
        <f>B12+C12-I12-F12-G12-H12</f>
        <v/>
      </c>
    </row>
    <row r="13">
      <c r="A13" s="5" t="inlineStr">
        <is>
          <t>שבוע 12</t>
        </is>
      </c>
      <c r="B13" s="6">
        <f>J12</f>
        <v/>
      </c>
      <c r="C13" s="6" t="n">
        <v>1</v>
      </c>
      <c r="D13" s="6" t="n">
        <v>0</v>
      </c>
      <c r="E13" s="6" t="n">
        <v>1.1</v>
      </c>
      <c r="F13" s="6" t="n">
        <v>0.45</v>
      </c>
      <c r="G13" s="6" t="n">
        <v>0</v>
      </c>
      <c r="H13" s="6" t="n">
        <v>0</v>
      </c>
      <c r="I13" s="6">
        <f>D13/$Q$1+E13/$Q$1</f>
        <v/>
      </c>
      <c r="J13" s="6">
        <f>B13+C13-I13-F13-G13-H13</f>
        <v/>
      </c>
    </row>
    <row r="14">
      <c r="A14" s="5" t="inlineStr">
        <is>
          <t>שבוע 13</t>
        </is>
      </c>
      <c r="B14" s="6">
        <f>J13</f>
        <v/>
      </c>
      <c r="C14" s="6" t="n">
        <v>1.2</v>
      </c>
      <c r="D14" s="6" t="n">
        <v>0</v>
      </c>
      <c r="E14" s="6" t="n">
        <v>1.1</v>
      </c>
      <c r="F14" s="6" t="n">
        <v>0.45</v>
      </c>
      <c r="G14" s="6" t="n">
        <v>0</v>
      </c>
      <c r="H14" s="6" t="n">
        <v>0</v>
      </c>
      <c r="I14" s="6">
        <f>D14/$Q$1+E14/$Q$1</f>
        <v/>
      </c>
      <c r="J14" s="6">
        <f>B14+C14-I14-F14-G14-H14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שכר בשקלים ל-6 החודשים הבאים (₪M)</t>
        </is>
      </c>
      <c r="B1" t="n">
        <v>99</v>
      </c>
    </row>
    <row r="2">
      <c r="A2" t="inlineStr">
        <is>
          <t>עסקאות אקדמה שנסגרו (₪M)</t>
        </is>
      </c>
      <c r="B2" t="n">
        <v>60</v>
      </c>
    </row>
    <row r="3">
      <c r="A3" t="inlineStr">
        <is>
          <t>שער האקדמה</t>
        </is>
      </c>
      <c r="B3" t="n">
        <v>3.65</v>
      </c>
    </row>
    <row r="4">
      <c r="A4" t="inlineStr">
        <is>
          <t>שער נוכחי</t>
        </is>
      </c>
      <c r="B4" t="n">
        <v>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7" t="inlineStr">
        <is>
          <t>שאלה</t>
        </is>
      </c>
      <c r="B1" s="7" t="inlineStr">
        <is>
          <t>התשובה שלך</t>
        </is>
      </c>
      <c r="C1" s="7" t="inlineStr">
        <is>
          <t>בדיקה</t>
        </is>
      </c>
    </row>
    <row r="2">
      <c r="A2" s="2" t="inlineStr">
        <is>
          <t>יתרת מזומנים בסוף שבוע 13 ($M, 2 ספרות)</t>
        </is>
      </c>
      <c r="B2" s="8">
        <f>ROUND('תזרים'!J14,2)</f>
        <v/>
      </c>
      <c r="C2" s="9">
        <f>IF(B2="","",IF(ABS(B2-(32.53))&lt;=0.005,"✓ נכון","✗ עוד לא"))</f>
        <v/>
      </c>
    </row>
    <row r="3">
      <c r="A3" s="2" t="inlineStr">
        <is>
          <t>היתרה הנמוכה ביותר ב-13 השבועות ($M)</t>
        </is>
      </c>
      <c r="B3" s="8">
        <f>ROUND(MIN('תזרים'!J2:J14),2)</f>
        <v/>
      </c>
      <c r="C3" s="9">
        <f>IF(B3="","",IF(ABS(B3-(31.83))&lt;=0.005,"✓ נכון","✗ עוד לא"))</f>
        <v/>
      </c>
    </row>
    <row r="4">
      <c r="A4" s="2" t="inlineStr">
        <is>
          <t>שריפה חודשית ממוצעת ($M, פתיחה פחות סגירה חלקי 3)</t>
        </is>
      </c>
      <c r="B4" s="8">
        <f>ROUND((38-'תזרים'!J14)/3,2)</f>
        <v/>
      </c>
      <c r="C4" s="9">
        <f>IF(B4="","",IF(ABS(B4-(1.82))&lt;=0.005,"✓ נכון","✗ עוד לא"))</f>
        <v/>
      </c>
    </row>
    <row r="5">
      <c r="A5" s="2" t="inlineStr">
        <is>
          <t>מסלול חיים בחודשים: (מזומן בסוף + פיקדונות 25) חלקי שריפה חודשית</t>
        </is>
      </c>
      <c r="B5" s="10" t="n">
        <v>31.5</v>
      </c>
      <c r="C5" s="9">
        <f>IF(B5="","",IF(ABS(B5-(31.5))&lt;=0.05,"✓ נכון","✗ עוד לא"))</f>
        <v/>
      </c>
    </row>
    <row r="6">
      <c r="A6" s="2" t="inlineStr">
        <is>
          <t>יחס גידור על השכר (אחוז)</t>
        </is>
      </c>
      <c r="B6" s="11">
        <f>60/99</f>
        <v/>
      </c>
      <c r="C6" s="9">
        <f>IF(B6="","",IF(ABS(B6-(0.6061))&lt;=0.005,"✓ נכון","✗ עוד לא"))</f>
        <v/>
      </c>
    </row>
    <row r="7">
      <c r="A7" s="2" t="inlineStr">
        <is>
          <t>עלות נוספת בדולרים אם השקל מתחזק 5% על החלק הלא מגודר ($)</t>
        </is>
      </c>
      <c r="B7" s="12">
        <f>39000000/(3.62*0.95)-39000000/3.62</f>
        <v/>
      </c>
      <c r="C7" s="9">
        <f>IF(B7="","",IF(ABS(B7-(567025))&lt;=1.0,"✓ נכון","✗ עוד לא"))</f>
        <v/>
      </c>
    </row>
    <row r="9">
      <c r="A9" t="inlineStr">
        <is>
          <t>תובנה לדירקטוריון: גבייה שנתית מרוכזת ביולי מסתירה שריפה. בודקים מסלול חיים לפי שריפה ממוצעת, ומגדרים חלק גדול יותר מהשכר אם הדירקטוריון רוצה פחות תנודתיות.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