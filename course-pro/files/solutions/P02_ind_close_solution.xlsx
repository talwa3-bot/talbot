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לאי מוגמר" sheetId="2" state="visible" r:id="rId2"/>
    <sheet name="חומרי גלם" sheetId="3" state="visible" r:id="rId3"/>
    <sheet name="הקמה" sheetId="4" state="visible" r:id="rId4"/>
    <sheet name="מט&quot;ח" sheetId="5" state="visible" r:id="rId5"/>
    <sheet name="שאל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#,##0.00;[Red]-#,##0.00"/>
    <numFmt numFmtId="166" formatCode="yyyy-mm-dd"/>
    <numFmt numFmtId="167" formatCode="dd/mm/yyyy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167" fontId="0" fillId="0" borderId="1" pivotButton="0" quotePrefix="0" xfId="0"/>
    <xf numFmtId="168" fontId="0" fillId="0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2 | הובלת סגירת יוני 2026 | גלבוע תעשיות בע"מ (ת"א, IFRS)</t>
        </is>
      </c>
    </row>
    <row r="3">
      <c r="A3" s="2" t="inlineStr">
        <is>
          <t>הסיפור: את החשבת החדשה של יצרנית אריזות ציבורית. רבעון 2 נסגר, והדוחות לבורסה צריכים לצאת בזמן.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3" t="inlineStr">
        <is>
          <t>משימה 1 ("מלאי מוגמר"): ירידת ערך לשווי מימוש נטו (IAS 2). שווי מימוש נטו = מחיר מכירה פחות עלויות מכירה.</t>
        </is>
      </c>
    </row>
    <row r="8">
      <c r="A8" s="3" t="inlineStr">
        <is>
          <t>משימה 2 ("חומרי גלם"): מדיניות מלאי איטי: אין תנועה יותר מ-12 חודשים: הפרשה 50%. יותר מ-24 חודשים: 100%.</t>
        </is>
      </c>
    </row>
    <row r="9">
      <c r="A9" s="2" t="inlineStr">
        <is>
          <t xml:space="preserve">   שימי לב לגבולות: 12 חודשים בדיוק זה לא "יותר מ-12".</t>
        </is>
      </c>
    </row>
    <row r="10">
      <c r="A10" s="3" t="inlineStr">
        <is>
          <t>משימה 3 ("הקמה"): קו ייצור 4 זמין לשימוש מ-15.6.2026. אילו עלויות מהוונים לרכוש קבוע לפי IAS 16?</t>
        </is>
      </c>
    </row>
    <row r="11">
      <c r="A11" s="2" t="inlineStr">
        <is>
          <t xml:space="preserve">   מדיניות החברה: פחת מתחיל מהחודש שאחרי הזמינות לשימוש.</t>
        </is>
      </c>
    </row>
    <row r="12">
      <c r="A12" s="3" t="inlineStr">
        <is>
          <t>משימה 4 ("מט"ח"): שערוך יתרות באירו. שער 31.5: 4.05. שער 30.6: 4.12 (שקל לאירו).</t>
        </is>
      </c>
    </row>
    <row r="13">
      <c r="A13" s="3" t="inlineStr">
        <is>
          <t>משימה 5 ("אנרגיה"): הפרשה לחשמל: קריאת מונה 1,480,000 קוט"ש, תעריף 0.62 ₪. החשבונית תגיע באוגוסט.</t>
        </is>
      </c>
    </row>
    <row r="14">
      <c r="A14" s="3" t="inlineStr">
        <is>
          <t>משימה 6 ("שאלות"): ענו. כל תשובה נבדקת מיד.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4" t="inlineStr">
        <is>
          <t>מק"ט</t>
        </is>
      </c>
      <c r="B1" s="4" t="inlineStr">
        <is>
          <t>תיאור</t>
        </is>
      </c>
      <c r="C1" s="4" t="inlineStr">
        <is>
          <t>כמות</t>
        </is>
      </c>
      <c r="D1" s="4" t="inlineStr">
        <is>
          <t>עלות ליחידה ₪</t>
        </is>
      </c>
      <c r="E1" s="4" t="inlineStr">
        <is>
          <t>מחיר מכירה ₪</t>
        </is>
      </c>
      <c r="F1" s="4" t="inlineStr">
        <is>
          <t>עלויות מכירה ₪</t>
        </is>
      </c>
      <c r="G1" s="4" t="inlineStr">
        <is>
          <t>שווי מימוש נטו ₪</t>
        </is>
      </c>
      <c r="H1" s="4" t="inlineStr">
        <is>
          <t>ירידת ערך ₪</t>
        </is>
      </c>
    </row>
    <row r="2">
      <c r="A2" s="5" t="inlineStr">
        <is>
          <t>FG-01</t>
        </is>
      </c>
      <c r="B2" s="5" t="inlineStr">
        <is>
          <t>קופסאות קרטון 30x40</t>
        </is>
      </c>
      <c r="C2" s="6" t="n">
        <v>12000</v>
      </c>
      <c r="D2" s="7" t="n">
        <v>4.2</v>
      </c>
      <c r="E2" s="7" t="n">
        <v>6.5</v>
      </c>
      <c r="F2" s="7" t="n">
        <v>0.4</v>
      </c>
      <c r="G2" s="7">
        <f>E2-F2</f>
        <v/>
      </c>
      <c r="H2" s="6">
        <f>MAX(0,D2-G2)*C2</f>
        <v/>
      </c>
    </row>
    <row r="3">
      <c r="A3" s="5" t="inlineStr">
        <is>
          <t>FG-02</t>
        </is>
      </c>
      <c r="B3" s="5" t="inlineStr">
        <is>
          <t>מגשי פלסטיק למזון</t>
        </is>
      </c>
      <c r="C3" s="6" t="n">
        <v>8000</v>
      </c>
      <c r="D3" s="7" t="n">
        <v>7.8</v>
      </c>
      <c r="E3" s="7" t="n">
        <v>7.5</v>
      </c>
      <c r="F3" s="7" t="n">
        <v>0.6</v>
      </c>
      <c r="G3" s="7">
        <f>E3-F3</f>
        <v/>
      </c>
      <c r="H3" s="6">
        <f>MAX(0,D3-G3)*C3</f>
        <v/>
      </c>
    </row>
    <row r="4">
      <c r="A4" s="5" t="inlineStr">
        <is>
          <t>FG-03</t>
        </is>
      </c>
      <c r="B4" s="5" t="inlineStr">
        <is>
          <t>אריזות מזון מודפסות</t>
        </is>
      </c>
      <c r="C4" s="6" t="n">
        <v>25000</v>
      </c>
      <c r="D4" s="7" t="n">
        <v>1.9</v>
      </c>
      <c r="E4" s="7" t="n">
        <v>2.8</v>
      </c>
      <c r="F4" s="7" t="n">
        <v>0.2</v>
      </c>
      <c r="G4" s="7">
        <f>E4-F4</f>
        <v/>
      </c>
      <c r="H4" s="6">
        <f>MAX(0,D4-G4)*C4</f>
        <v/>
      </c>
    </row>
    <row r="5">
      <c r="A5" s="5" t="inlineStr">
        <is>
          <t>FG-04</t>
        </is>
      </c>
      <c r="B5" s="5" t="inlineStr">
        <is>
          <t>משטחי אריזה תעשייתיים</t>
        </is>
      </c>
      <c r="C5" s="6" t="n">
        <v>1500</v>
      </c>
      <c r="D5" s="7" t="n">
        <v>64</v>
      </c>
      <c r="E5" s="7" t="n">
        <v>58</v>
      </c>
      <c r="F5" s="7" t="n">
        <v>5</v>
      </c>
      <c r="G5" s="7">
        <f>E5-F5</f>
        <v/>
      </c>
      <c r="H5" s="6">
        <f>MAX(0,D5-G5)*C5</f>
        <v/>
      </c>
    </row>
    <row r="6">
      <c r="A6" s="5" t="inlineStr">
        <is>
          <t>FG-05</t>
        </is>
      </c>
      <c r="B6" s="5" t="inlineStr">
        <is>
          <t>שקיות ממוחזרות</t>
        </is>
      </c>
      <c r="C6" s="6" t="n">
        <v>40000</v>
      </c>
      <c r="D6" s="7" t="n">
        <v>0.55</v>
      </c>
      <c r="E6" s="7" t="n">
        <v>0.62</v>
      </c>
      <c r="F6" s="7" t="n">
        <v>0.1</v>
      </c>
      <c r="G6" s="7">
        <f>E6-F6</f>
        <v/>
      </c>
      <c r="H6" s="6">
        <f>MAX(0,D6-G6)*C6</f>
        <v/>
      </c>
    </row>
    <row r="7">
      <c r="H7" s="8">
        <f>SUM(H2:H6)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4" t="inlineStr">
        <is>
          <t>מק"ט</t>
        </is>
      </c>
      <c r="B1" s="4" t="inlineStr">
        <is>
          <t>תיאור</t>
        </is>
      </c>
      <c r="C1" s="4" t="inlineStr">
        <is>
          <t>כמות</t>
        </is>
      </c>
      <c r="D1" s="4" t="inlineStr">
        <is>
          <t>עלות ליחידה ₪</t>
        </is>
      </c>
      <c r="E1" s="4" t="inlineStr">
        <is>
          <t>תנועה אחרונה</t>
        </is>
      </c>
      <c r="F1" s="4" t="inlineStr">
        <is>
          <t>חודשים בלי תנועה</t>
        </is>
      </c>
      <c r="G1" s="4" t="inlineStr">
        <is>
          <t>שיעור הפרשה</t>
        </is>
      </c>
      <c r="H1" s="4" t="inlineStr">
        <is>
          <t>הפרשה ₪</t>
        </is>
      </c>
    </row>
    <row r="2">
      <c r="A2" s="5" t="inlineStr">
        <is>
          <t>RM-01</t>
        </is>
      </c>
      <c r="B2" s="5" t="inlineStr">
        <is>
          <t>גליל קרטון (טון)</t>
        </is>
      </c>
      <c r="C2" s="6" t="n">
        <v>180</v>
      </c>
      <c r="D2" s="6" t="n">
        <v>3200</v>
      </c>
      <c r="E2" s="9" t="n">
        <v>46143</v>
      </c>
      <c r="F2" s="5">
        <f>(2026-YEAR(E2))*12+(6-MONTH(E2))</f>
        <v/>
      </c>
      <c r="G2" s="10">
        <f>IF(F2&gt;24,1,IF(F2&gt;12,0.5,0))</f>
        <v/>
      </c>
      <c r="H2" s="6">
        <f>C2*D2*G2</f>
        <v/>
      </c>
    </row>
    <row r="3">
      <c r="A3" s="5" t="inlineStr">
        <is>
          <t>RM-02</t>
        </is>
      </c>
      <c r="B3" s="5" t="inlineStr">
        <is>
          <t>גרגרי פוליאתילן (טון)</t>
        </is>
      </c>
      <c r="C3" s="6" t="n">
        <v>45</v>
      </c>
      <c r="D3" s="6" t="n">
        <v>7400</v>
      </c>
      <c r="E3" s="9" t="n">
        <v>45717</v>
      </c>
      <c r="F3" s="5">
        <f>(2026-YEAR(E3))*12+(6-MONTH(E3))</f>
        <v/>
      </c>
      <c r="G3" s="10">
        <f>IF(F3&gt;24,1,IF(F3&gt;12,0.5,0))</f>
        <v/>
      </c>
      <c r="H3" s="6">
        <f>C3*D3*G3</f>
        <v/>
      </c>
    </row>
    <row r="4">
      <c r="A4" s="5" t="inlineStr">
        <is>
          <t>RM-03</t>
        </is>
      </c>
      <c r="B4" s="5" t="inlineStr">
        <is>
          <t>דיו למזון (ליטר)</t>
        </is>
      </c>
      <c r="C4" s="6" t="n">
        <v>1200</v>
      </c>
      <c r="D4" s="6" t="n">
        <v>38</v>
      </c>
      <c r="E4" s="9" t="n">
        <v>45323</v>
      </c>
      <c r="F4" s="5">
        <f>(2026-YEAR(E4))*12+(6-MONTH(E4))</f>
        <v/>
      </c>
      <c r="G4" s="10">
        <f>IF(F4&gt;24,1,IF(F4&gt;12,0.5,0))</f>
        <v/>
      </c>
      <c r="H4" s="6">
        <f>C4*D4*G4</f>
        <v/>
      </c>
    </row>
    <row r="5">
      <c r="A5" s="5" t="inlineStr">
        <is>
          <t>RM-04</t>
        </is>
      </c>
      <c r="B5" s="5" t="inlineStr">
        <is>
          <t>דבק תעשייתי (ק"ג)</t>
        </is>
      </c>
      <c r="C5" s="6" t="n">
        <v>900</v>
      </c>
      <c r="D5" s="6" t="n">
        <v>22</v>
      </c>
      <c r="E5" s="9" t="n">
        <v>46054</v>
      </c>
      <c r="F5" s="5">
        <f>(2026-YEAR(E5))*12+(6-MONTH(E5))</f>
        <v/>
      </c>
      <c r="G5" s="10">
        <f>IF(F5&gt;24,1,IF(F5&gt;12,0.5,0))</f>
        <v/>
      </c>
      <c r="H5" s="6">
        <f>C5*D5*G5</f>
        <v/>
      </c>
    </row>
    <row r="6">
      <c r="A6" s="5" t="inlineStr">
        <is>
          <t>RM-05</t>
        </is>
      </c>
      <c r="B6" s="5" t="inlineStr">
        <is>
          <t>סרט עטיפה (גליל)</t>
        </is>
      </c>
      <c r="C6" s="6" t="n">
        <v>350</v>
      </c>
      <c r="D6" s="6" t="n">
        <v>410</v>
      </c>
      <c r="E6" s="9" t="n">
        <v>45809</v>
      </c>
      <c r="F6" s="5">
        <f>(2026-YEAR(E6))*12+(6-MONTH(E6))</f>
        <v/>
      </c>
      <c r="G6" s="10">
        <f>IF(F6&gt;24,1,IF(F6&gt;12,0.5,0))</f>
        <v/>
      </c>
      <c r="H6" s="6">
        <f>C6*D6*G6</f>
        <v/>
      </c>
    </row>
    <row r="7">
      <c r="H7" s="8">
        <f>SUM(H2:H6)</f>
        <v/>
      </c>
    </row>
    <row r="9">
      <c r="A9" t="inlineStr">
        <is>
          <t>יתרת הפרשה למלאי בספרים לפני הסגירה ₪</t>
        </is>
      </c>
      <c r="D9" s="8" t="n">
        <v>180000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</cols>
  <sheetData>
    <row r="1">
      <c r="A1" s="4" t="inlineStr">
        <is>
          <t>עלות שנצברה בנכס בהקמה</t>
        </is>
      </c>
      <c r="B1" s="4" t="inlineStr">
        <is>
          <t>סכום ₪</t>
        </is>
      </c>
      <c r="C1" s="4" t="inlineStr">
        <is>
          <t>להוון? (כן/לא)</t>
        </is>
      </c>
    </row>
    <row r="2">
      <c r="A2" s="5" t="inlineStr">
        <is>
          <t>ציוד קו ייצור 4</t>
        </is>
      </c>
      <c r="B2" s="6" t="n">
        <v>3200000</v>
      </c>
      <c r="C2" s="5" t="inlineStr">
        <is>
          <t>כן</t>
        </is>
      </c>
    </row>
    <row r="3">
      <c r="A3" s="5" t="inlineStr">
        <is>
          <t>התקנה והרכבה</t>
        </is>
      </c>
      <c r="B3" s="6" t="n">
        <v>260000</v>
      </c>
      <c r="C3" s="5" t="inlineStr">
        <is>
          <t>כן</t>
        </is>
      </c>
    </row>
    <row r="4">
      <c r="A4" s="5" t="inlineStr">
        <is>
          <t>בדיקות הרצה (נטו ממכירת דוגמאות)</t>
        </is>
      </c>
      <c r="B4" s="6" t="n">
        <v>45000</v>
      </c>
      <c r="C4" s="5" t="inlineStr">
        <is>
          <t>כן</t>
        </is>
      </c>
    </row>
    <row r="5">
      <c r="A5" s="5" t="inlineStr">
        <is>
          <t>הדרכת עובדים על הקו</t>
        </is>
      </c>
      <c r="B5" s="6" t="n">
        <v>38000</v>
      </c>
      <c r="C5" s="5" t="inlineStr">
        <is>
          <t>לא</t>
        </is>
      </c>
    </row>
    <row r="6">
      <c r="A6" s="5" t="inlineStr">
        <is>
          <t>העמסת תקורות הנהלה כלליות</t>
        </is>
      </c>
      <c r="B6" s="6" t="n">
        <v>52000</v>
      </c>
      <c r="C6" s="5" t="inlineStr">
        <is>
          <t>לא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>
      <c r="A1" s="4" t="inlineStr">
        <is>
          <t>יתרה</t>
        </is>
      </c>
      <c r="B1" s="4" t="inlineStr">
        <is>
          <t>סכום €</t>
        </is>
      </c>
      <c r="C1" s="4" t="inlineStr">
        <is>
          <t>שער 31.5</t>
        </is>
      </c>
      <c r="D1" s="4" t="inlineStr">
        <is>
          <t>שער 30.6</t>
        </is>
      </c>
      <c r="E1" s="4" t="inlineStr">
        <is>
          <t>רווח (הפסד) ₪</t>
        </is>
      </c>
    </row>
    <row r="2">
      <c r="A2" s="5" t="inlineStr">
        <is>
          <t>ספקים באירו (התחייבות)</t>
        </is>
      </c>
      <c r="B2" s="6" t="n">
        <v>-1200000</v>
      </c>
      <c r="C2" s="5" t="n">
        <v>4.05</v>
      </c>
      <c r="D2" s="5" t="n">
        <v>4.12</v>
      </c>
      <c r="E2" s="6">
        <f>B2*(D2-C2)</f>
        <v/>
      </c>
    </row>
    <row r="3">
      <c r="A3" s="5" t="inlineStr">
        <is>
          <t>לקוחות באירו (נכס)</t>
        </is>
      </c>
      <c r="B3" s="6" t="n">
        <v>650000</v>
      </c>
      <c r="C3" s="5" t="n">
        <v>4.05</v>
      </c>
      <c r="D3" s="5" t="n">
        <v>4.12</v>
      </c>
      <c r="E3" s="6">
        <f>B3*(D3-C3)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1" t="inlineStr">
        <is>
          <t>שאלה</t>
        </is>
      </c>
      <c r="B1" s="11" t="inlineStr">
        <is>
          <t>התשובה שלך</t>
        </is>
      </c>
      <c r="C1" s="11" t="inlineStr">
        <is>
          <t>בדיקה</t>
        </is>
      </c>
    </row>
    <row r="2">
      <c r="A2" s="2" t="inlineStr">
        <is>
          <t>ירידת ערך מלאי מוגמר (שווי מימוש נטו) ₪</t>
        </is>
      </c>
      <c r="B2" s="12">
        <f>'מלאי מוגמר'!H7</f>
        <v/>
      </c>
      <c r="C2" s="13">
        <f>IF(B2="","",IF(ABS(B2-(24900))&lt;=1.0,"✓ נכון","✗ עוד לא"))</f>
        <v/>
      </c>
    </row>
    <row r="3">
      <c r="A3" s="2" t="inlineStr">
        <is>
          <t>הפרשה למלאי איטי בחומרי גלם ₪</t>
        </is>
      </c>
      <c r="B3" s="12">
        <f>'חומרי גלם'!H7</f>
        <v/>
      </c>
      <c r="C3" s="13">
        <f>IF(B3="","",IF(ABS(B3-(212100))&lt;=1.0,"✓ נכון","✗ עוד לא"))</f>
        <v/>
      </c>
    </row>
    <row r="4">
      <c r="A4" s="2" t="inlineStr">
        <is>
          <t>סך הפרשה נדרשת למלאי ₪</t>
        </is>
      </c>
      <c r="B4" s="12">
        <f>'מלאי מוגמר'!H7+'חומרי גלם'!H7</f>
        <v/>
      </c>
      <c r="C4" s="13">
        <f>IF(B4="","",IF(ABS(B4-(237000))&lt;=1.0,"✓ נכון","✗ עוד לא"))</f>
        <v/>
      </c>
    </row>
    <row r="5">
      <c r="A5" s="2" t="inlineStr">
        <is>
          <t>סכום הפקודה להשלמת ההפרשה ₪</t>
        </is>
      </c>
      <c r="B5" s="12">
        <f>'מלאי מוגמר'!H7+'חומרי גלם'!H7-'חומרי גלם'!D9</f>
        <v/>
      </c>
      <c r="C5" s="13">
        <f>IF(B5="","",IF(ABS(B5-(57000))&lt;=1.0,"✓ נכון","✗ עוד לא"))</f>
        <v/>
      </c>
    </row>
    <row r="6">
      <c r="A6" s="2" t="inlineStr">
        <is>
          <t>סכום להוון לרכוש קבוע (קו 4) ₪</t>
        </is>
      </c>
      <c r="B6" s="12" t="n">
        <v>3505000</v>
      </c>
      <c r="C6" s="13">
        <f>IF(B6="","",IF(ABS(B6-(3505000))&lt;=1.0,"✓ נכון","✗ עוד לא"))</f>
        <v/>
      </c>
    </row>
    <row r="7">
      <c r="A7" s="2" t="inlineStr">
        <is>
          <t>סכום לרשום כהוצאה במקום להוון ₪</t>
        </is>
      </c>
      <c r="B7" s="12" t="n">
        <v>90000</v>
      </c>
      <c r="C7" s="13">
        <f>IF(B7="","",IF(ABS(B7-(90000))&lt;=1.0,"✓ נכון","✗ עוד לא"))</f>
        <v/>
      </c>
    </row>
    <row r="8">
      <c r="A8" s="2" t="inlineStr">
        <is>
          <t>פחת קו 4 שנרשם ביוני ₪</t>
        </is>
      </c>
      <c r="B8" s="12" t="n">
        <v>0</v>
      </c>
      <c r="C8" s="13">
        <f>IF(B8="","",IF(ABS(B8-(0))&lt;=1.0,"✓ נכון","✗ עוד לא"))</f>
        <v/>
      </c>
    </row>
    <row r="9">
      <c r="A9" s="2" t="inlineStr">
        <is>
          <t>רווח (הפסד) נטו משערוך אירו ₪ (הפסד במינוס)</t>
        </is>
      </c>
      <c r="B9" s="12">
        <f>SUM('מט"ח'!E2:E3)</f>
        <v/>
      </c>
      <c r="C9" s="13">
        <f>IF(B9="","",IF(ABS(B9-(-38500))&lt;=1.0,"✓ נכון","✗ עוד לא"))</f>
        <v/>
      </c>
    </row>
    <row r="10">
      <c r="A10" s="2" t="inlineStr">
        <is>
          <t>הפרשה לחשמל יוני ₪</t>
        </is>
      </c>
      <c r="B10" s="12">
        <f>1480000*0.62</f>
        <v/>
      </c>
      <c r="C10" s="13">
        <f>IF(B10="","",IF(ABS(B10-(917600))&lt;=1.0,"✓ נכון","✗ עוד לא"))</f>
        <v/>
      </c>
    </row>
    <row r="13">
      <c r="A13" s="14" t="inlineStr">
        <is>
          <t>FG-02, FG-04, FG-05: שווי המימוש נמוך מהעלות. FG-05 קטן, אבל מצטבר.</t>
        </is>
      </c>
    </row>
    <row r="14">
      <c r="A14" s="14" t="inlineStr">
        <is>
          <t>RM-05: בדיוק 12 חודשים, לא יותר, ולכן 0. RM-02: 15 חודשים, 50%. RM-03: 28 חודשים, 100%.</t>
        </is>
      </c>
    </row>
    <row r="15">
      <c r="A15" s="14" t="inlineStr">
        <is>
          <t>IAS 16: הדרכת עובדים ותקורות הנהלה כלליות אינן עלות שניתן לייחס ישירות להבאת הנכס למצב שימוש. הוצאה.</t>
        </is>
      </c>
    </row>
    <row r="16">
      <c r="A16" s="14" t="inlineStr">
        <is>
          <t>פחת: זמין לשימוש ב-15.6, ולפי המדיניות מתחילים ביולי. ביוני 0.</t>
        </is>
      </c>
    </row>
    <row r="17">
      <c r="A17" s="14" t="inlineStr">
        <is>
          <t>מט"ח: האירו התחזק. על ההתחייבות הפסד, על הנכס רווח. בודקים גם עסקאות גידור אם יש.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conditionalFormatting sqref="C10">
    <cfRule type="expression" priority="17" dxfId="0">
      <formula>LEFT(C10,1)="✓"</formula>
    </cfRule>
    <cfRule type="expression" priority="18" dxfId="1">
      <formula>LEFT(C10,1)="✗"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