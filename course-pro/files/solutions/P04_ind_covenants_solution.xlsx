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בסיס" sheetId="2" state="visible" r:id="rId2"/>
    <sheet name="קיצון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4 | אמות מידה פיננסיות ותרחיש קיצון | גלבוע תעשיות</t>
        </is>
      </c>
    </row>
    <row r="3">
      <c r="A3" s="2" t="inlineStr">
        <is>
          <t>הסיפור: לחברה אג"ח בבורסה בתל אביב. בשטר הנאמנות יש אמות מידה פיננסיות. הפרה = עילה לפירעון מיידי.</t>
        </is>
      </c>
    </row>
    <row r="4">
      <c r="A4" s="2" t="inlineStr">
        <is>
          <t>מחירי חומרי הגלם עולים. ועדת הביקורת רוצה לדעת: האם נעמוד באמות המידה גם בתרחיש קיצון?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2" t="inlineStr">
        <is>
          <t>אמות המידה: הון עצמי לפחות 450 מיליון ₪. הון עצמי חלקי סך מאזן לפחות 25%. חוב פיננסי נטו חלקי EBITDA (12 חודשים) לכל היותר 5.5.</t>
        </is>
      </c>
    </row>
    <row r="9">
      <c r="A9" s="3" t="inlineStr">
        <is>
          <t>משימה 1: חשבי את שלושת היחסים בכל רבעון, בבסיס ובקיצון (עליית מחירי חומרי גלם ב-15%).</t>
        </is>
      </c>
    </row>
    <row r="10">
      <c r="A10" s="3" t="inlineStr">
        <is>
          <t>משימה 2: חשבי מרווח (Headroom): בכמה אחוז EBITDA יכול לרדת לפני הפרה.</t>
        </is>
      </c>
    </row>
    <row r="11">
      <c r="A11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8" customWidth="1" min="5" max="5"/>
    <col width="12" customWidth="1" min="6" max="6"/>
    <col width="12" customWidth="1" min="7" max="7"/>
    <col width="16" customWidth="1" min="8" max="8"/>
    <col width="10" customWidth="1" min="9" max="9"/>
    <col width="20" customWidth="1" min="10" max="10"/>
  </cols>
  <sheetData>
    <row r="1">
      <c r="A1" s="4" t="inlineStr">
        <is>
          <t>רבעון</t>
        </is>
      </c>
      <c r="B1" s="4" t="inlineStr">
        <is>
          <t>הון עצמי ₪M</t>
        </is>
      </c>
      <c r="C1" s="4" t="inlineStr">
        <is>
          <t>סך מאזן ₪M</t>
        </is>
      </c>
      <c r="D1" s="4" t="inlineStr">
        <is>
          <t>חוב פיננסי נטו ₪M</t>
        </is>
      </c>
      <c r="E1" s="4" t="inlineStr">
        <is>
          <t>EBITDA 12 חודשים ₪M</t>
        </is>
      </c>
      <c r="F1" s="4" t="inlineStr">
        <is>
          <t>הון ≥ 450?</t>
        </is>
      </c>
      <c r="G1" s="4" t="inlineStr">
        <is>
          <t>הון למאזן</t>
        </is>
      </c>
      <c r="H1" s="4" t="inlineStr">
        <is>
          <t>חוב נטו ל-EBITDA</t>
        </is>
      </c>
      <c r="I1" s="4" t="inlineStr">
        <is>
          <t>סטטוס</t>
        </is>
      </c>
      <c r="J1" s="4" t="inlineStr">
        <is>
          <t>מרווח EBITDA עד הפרה</t>
        </is>
      </c>
    </row>
    <row r="2">
      <c r="A2" s="5" t="inlineStr">
        <is>
          <t>רבעון 2 2026 (בפועל)</t>
        </is>
      </c>
      <c r="B2" s="5" t="n">
        <v>520</v>
      </c>
      <c r="C2" s="5" t="n">
        <v>1900</v>
      </c>
      <c r="D2" s="5" t="n">
        <v>610</v>
      </c>
      <c r="E2" s="5" t="n">
        <v>140</v>
      </c>
      <c r="F2" s="5">
        <f>C2&gt;=450</f>
        <v/>
      </c>
      <c r="G2" s="6">
        <f>B2/C2</f>
        <v/>
      </c>
      <c r="H2" s="7">
        <f>D2/E2</f>
        <v/>
      </c>
      <c r="I2" s="5">
        <f>IF(AND(B2&gt;=450,G2&gt;=25%,H2&lt;=5.5),"עומדת","הפרה")</f>
        <v/>
      </c>
      <c r="J2" s="6">
        <f>1-(D2/5.5)/E2</f>
        <v/>
      </c>
    </row>
    <row r="3">
      <c r="A3" s="5" t="inlineStr">
        <is>
          <t>רבעון 3 2026</t>
        </is>
      </c>
      <c r="B3" s="5" t="n">
        <v>530</v>
      </c>
      <c r="C3" s="5" t="n">
        <v>1950</v>
      </c>
      <c r="D3" s="5" t="n">
        <v>640</v>
      </c>
      <c r="E3" s="5" t="n">
        <v>136</v>
      </c>
      <c r="F3" s="5">
        <f>C3&gt;=450</f>
        <v/>
      </c>
      <c r="G3" s="6">
        <f>B3/C3</f>
        <v/>
      </c>
      <c r="H3" s="7">
        <f>D3/E3</f>
        <v/>
      </c>
      <c r="I3" s="5">
        <f>IF(AND(B3&gt;=450,G3&gt;=25%,H3&lt;=5.5),"עומדת","הפרה")</f>
        <v/>
      </c>
      <c r="J3" s="6">
        <f>1-(D3/5.5)/E3</f>
        <v/>
      </c>
    </row>
    <row r="4">
      <c r="A4" s="5" t="inlineStr">
        <is>
          <t>רבעון 4 2026</t>
        </is>
      </c>
      <c r="B4" s="5" t="n">
        <v>540</v>
      </c>
      <c r="C4" s="5" t="n">
        <v>1980</v>
      </c>
      <c r="D4" s="5" t="n">
        <v>660</v>
      </c>
      <c r="E4" s="5" t="n">
        <v>132</v>
      </c>
      <c r="F4" s="5">
        <f>C4&gt;=450</f>
        <v/>
      </c>
      <c r="G4" s="6">
        <f>B4/C4</f>
        <v/>
      </c>
      <c r="H4" s="7">
        <f>D4/E4</f>
        <v/>
      </c>
      <c r="I4" s="5">
        <f>IF(AND(B4&gt;=450,G4&gt;=25%,H4&lt;=5.5),"עומדת","הפרה")</f>
        <v/>
      </c>
      <c r="J4" s="6">
        <f>1-(D4/5.5)/E4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8" customWidth="1" min="5" max="5"/>
    <col width="12" customWidth="1" min="6" max="6"/>
    <col width="12" customWidth="1" min="7" max="7"/>
    <col width="16" customWidth="1" min="8" max="8"/>
    <col width="10" customWidth="1" min="9" max="9"/>
    <col width="20" customWidth="1" min="10" max="10"/>
  </cols>
  <sheetData>
    <row r="1">
      <c r="A1" s="4" t="inlineStr">
        <is>
          <t>רבעון</t>
        </is>
      </c>
      <c r="B1" s="4" t="inlineStr">
        <is>
          <t>הון עצמי ₪M</t>
        </is>
      </c>
      <c r="C1" s="4" t="inlineStr">
        <is>
          <t>סך מאזן ₪M</t>
        </is>
      </c>
      <c r="D1" s="4" t="inlineStr">
        <is>
          <t>חוב פיננסי נטו ₪M</t>
        </is>
      </c>
      <c r="E1" s="4" t="inlineStr">
        <is>
          <t>EBITDA 12 חודשים ₪M</t>
        </is>
      </c>
      <c r="F1" s="4" t="inlineStr">
        <is>
          <t>הון ≥ 450?</t>
        </is>
      </c>
      <c r="G1" s="4" t="inlineStr">
        <is>
          <t>הון למאזן</t>
        </is>
      </c>
      <c r="H1" s="4" t="inlineStr">
        <is>
          <t>חוב נטו ל-EBITDA</t>
        </is>
      </c>
      <c r="I1" s="4" t="inlineStr">
        <is>
          <t>סטטוס</t>
        </is>
      </c>
      <c r="J1" s="4" t="inlineStr">
        <is>
          <t>מרווח EBITDA עד הפרה</t>
        </is>
      </c>
    </row>
    <row r="2">
      <c r="A2" s="5" t="inlineStr">
        <is>
          <t>רבעון 2 2026 (בפועל)</t>
        </is>
      </c>
      <c r="B2" s="5" t="n">
        <v>520</v>
      </c>
      <c r="C2" s="5" t="n">
        <v>1900</v>
      </c>
      <c r="D2" s="5" t="n">
        <v>610</v>
      </c>
      <c r="E2" s="5" t="n">
        <v>140</v>
      </c>
      <c r="F2" s="5">
        <f>C2&gt;=450</f>
        <v/>
      </c>
      <c r="G2" s="6">
        <f>B2/C2</f>
        <v/>
      </c>
      <c r="H2" s="7">
        <f>D2/E2</f>
        <v/>
      </c>
      <c r="I2" s="5">
        <f>IF(AND(B2&gt;=450,G2&gt;=25%,H2&lt;=5.5),"עומדת","הפרה")</f>
        <v/>
      </c>
      <c r="J2" s="6">
        <f>1-(D2/5.5)/E2</f>
        <v/>
      </c>
    </row>
    <row r="3">
      <c r="A3" s="5" t="inlineStr">
        <is>
          <t>רבעון 3 2026</t>
        </is>
      </c>
      <c r="B3" s="5" t="n">
        <v>515</v>
      </c>
      <c r="C3" s="5" t="n">
        <v>1950</v>
      </c>
      <c r="D3" s="5" t="n">
        <v>652</v>
      </c>
      <c r="E3" s="5" t="n">
        <v>124</v>
      </c>
      <c r="F3" s="5">
        <f>C3&gt;=450</f>
        <v/>
      </c>
      <c r="G3" s="6">
        <f>B3/C3</f>
        <v/>
      </c>
      <c r="H3" s="7">
        <f>D3/E3</f>
        <v/>
      </c>
      <c r="I3" s="5">
        <f>IF(AND(B3&gt;=450,G3&gt;=25%,H3&lt;=5.5),"עומדת","הפרה")</f>
        <v/>
      </c>
      <c r="J3" s="6">
        <f>1-(D3/5.5)/E3</f>
        <v/>
      </c>
    </row>
    <row r="4">
      <c r="A4" s="5" t="inlineStr">
        <is>
          <t>רבעון 4 2026</t>
        </is>
      </c>
      <c r="B4" s="5" t="n">
        <v>500</v>
      </c>
      <c r="C4" s="5" t="n">
        <v>1980</v>
      </c>
      <c r="D4" s="5" t="n">
        <v>684</v>
      </c>
      <c r="E4" s="5" t="n">
        <v>112</v>
      </c>
      <c r="F4" s="5">
        <f>C4&gt;=450</f>
        <v/>
      </c>
      <c r="G4" s="6">
        <f>B4/C4</f>
        <v/>
      </c>
      <c r="H4" s="7">
        <f>D4/E4</f>
        <v/>
      </c>
      <c r="I4" s="5">
        <f>IF(AND(B4&gt;=450,G4&gt;=25%,H4&lt;=5.5),"עומדת","הפרה")</f>
        <v/>
      </c>
      <c r="J4" s="6">
        <f>1-(D4/5.5)/E4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8" t="inlineStr">
        <is>
          <t>שאלה</t>
        </is>
      </c>
      <c r="B1" s="8" t="inlineStr">
        <is>
          <t>התשובה שלך</t>
        </is>
      </c>
      <c r="C1" s="8" t="inlineStr">
        <is>
          <t>בדיקה</t>
        </is>
      </c>
    </row>
    <row r="2">
      <c r="A2" s="2" t="inlineStr">
        <is>
          <t>יחס חוב נטו ל-EBITDA ברבעון 4, תרחיש בסיס</t>
        </is>
      </c>
      <c r="B2" s="9">
        <f>ROUND('בסיס'!H4,2)</f>
        <v/>
      </c>
      <c r="C2" s="10">
        <f>IF(B2="","",IF(ABS(B2-(5.0))&lt;=0.005,"✓ נכון","✗ עוד לא"))</f>
        <v/>
      </c>
    </row>
    <row r="3">
      <c r="A3" s="2" t="inlineStr">
        <is>
          <t>יחס חוב נטו ל-EBITDA ברבעון 4, תרחיש קיצון</t>
        </is>
      </c>
      <c r="B3" s="9">
        <f>ROUND('קיצון'!H4,2)</f>
        <v/>
      </c>
      <c r="C3" s="10">
        <f>IF(B3="","",IF(ABS(B3-(6.11))&lt;=0.005,"✓ נכון","✗ עוד לא"))</f>
        <v/>
      </c>
    </row>
    <row r="4">
      <c r="A4" s="2" t="inlineStr">
        <is>
          <t>באיזה רבעון בקיצון יש הפרה ראשונה? (כתבי: רבעון 3 או רבעון 4)</t>
        </is>
      </c>
      <c r="B4" s="11" t="inlineStr">
        <is>
          <t>רבעון 4</t>
        </is>
      </c>
      <c r="C4" s="10">
        <f>IF(B4="","",IF(TRIM(B4)="רבעון 4","✓ נכון","✗ עוד לא"))</f>
        <v/>
      </c>
    </row>
    <row r="5">
      <c r="A5" s="2" t="inlineStr">
        <is>
          <t>הון עצמי למאזן ברבעון 4 בקיצון</t>
        </is>
      </c>
      <c r="B5" s="12">
        <f>'קיצון'!G4</f>
        <v/>
      </c>
      <c r="C5" s="10">
        <f>IF(B5="","",IF(ABS(B5-(0.2525))&lt;=0.005,"✓ נכון","✗ עוד לא"))</f>
        <v/>
      </c>
    </row>
    <row r="6">
      <c r="A6" s="2" t="inlineStr">
        <is>
          <t>מרווח EBITDA עד הפרה ברבעון 3 בקיצון</t>
        </is>
      </c>
      <c r="B6" s="12">
        <f>'קיצון'!J3</f>
        <v/>
      </c>
      <c r="C6" s="10">
        <f>IF(B6="","",IF(ABS(B6-(0.044))&lt;=0.005,"✓ נכון","✗ עוד לא"))</f>
        <v/>
      </c>
    </row>
    <row r="8">
      <c r="A8" t="inlineStr">
        <is>
          <t>המלצה: לפנות מראש לנאמן ולבנק עם תוכנית (הקטנת השקעות, הזרמה, העלאת מחירים), ולא לחכות להפרה. לבדוק גם אם יש בשטר חובת גילוי מוקדם, ולתאם גילוי בדוח הדירקטוריון.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