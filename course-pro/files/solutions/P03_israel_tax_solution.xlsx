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מע&quot;מ" sheetId="2" state="visible" r:id="rId2"/>
    <sheet name="ניכוי במקור" sheetId="3" state="visible" r:id="rId3"/>
    <sheet name="שאל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0.0%"/>
    <numFmt numFmtId="166" formatCode="yyyy-mm-dd"/>
    <numFmt numFmtId="167" formatCode="dd/mm/yyyy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0" pivotButton="0" quotePrefix="0" xfId="0"/>
    <xf numFmtId="167" fontId="0" fillId="0" borderId="1" pivotButton="0" quotePrefix="0" xfId="0"/>
    <xf numFmtId="165" fontId="0" fillId="0" borderId="1" pivotButton="0" quotePrefix="0" xfId="0"/>
    <xf numFmtId="164" fontId="0" fillId="0" borderId="0" pivotButton="0" quotePrefix="0" xfId="0"/>
    <xf numFmtId="0" fontId="3" fillId="2" borderId="0" pivotButton="0" quotePrefix="0" xfId="0"/>
    <xf numFmtId="164" fontId="0" fillId="3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שני המסלולים | שלב 3 | מסים שוטפים מהצד של החברה | יוני 2026</t>
        </is>
      </c>
    </row>
    <row r="3">
      <c r="A3" s="2" t="inlineStr">
        <is>
          <t>כמבקרת בדקת הפרשה למס פעם ברבעון. כחשבת את אחראית על הדיווחים החודשיים. טעות כאן = קנס, ריבית והצמדה.</t>
        </is>
      </c>
    </row>
    <row r="4">
      <c r="A4" s="2" t="inlineStr">
        <is>
          <t>השיעורים בקובץ הם לתרגול. בעבודה תמיד מוודאים מול הוראות רשות המסים העדכניות ויועץ המס.</t>
        </is>
      </c>
    </row>
    <row r="5">
      <c r="A5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6">
      <c r="A6" s="2" t="inlineStr">
        <is>
          <t>טיפ ADHD: משימה אחת בכל פעם. כל גיליון הוא משימה של 15 עד 25 דקות. סיימת גיליון? קומי, מים, ואז הבא.</t>
        </is>
      </c>
    </row>
    <row r="7">
      <c r="A7" s="2" t="inlineStr"/>
    </row>
    <row r="8">
      <c r="A8" s="3" t="inlineStr">
        <is>
          <t>משימה 1 ("מע"מ"): התאמה בין כרטסות המע"מ בספר הראשי לבין הדוח החודשי שהוגש. מצאי שני הבדלים והסבירי.</t>
        </is>
      </c>
    </row>
    <row r="9">
      <c r="A9" s="3" t="inlineStr">
        <is>
          <t>משימה 2 ("ניכוי במקור"): לכל תשלום, בדקי אם אישור הניכוי היה בתוקף ביום התשלום.</t>
        </is>
      </c>
    </row>
    <row r="10">
      <c r="A10" s="2" t="inlineStr">
        <is>
          <t xml:space="preserve">   לא בתוקף = ניכוי בשיעור ברירת המחדל שבתא הפרמטר (בקובץ 30%, לתרגול).</t>
        </is>
      </c>
    </row>
    <row r="11">
      <c r="A11" s="3" t="inlineStr">
        <is>
          <t>משימה 3 ("מקדמות"): מקדמת מס הכנסה = מחזור החודש × שיעור המקדמה.</t>
        </is>
      </c>
    </row>
    <row r="12">
      <c r="A12" s="3" t="inlineStr">
        <is>
          <t>משימה 4 ("שאלות").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8" customWidth="1" min="3" max="3"/>
  </cols>
  <sheetData>
    <row r="1">
      <c r="A1" s="4" t="inlineStr">
        <is>
          <t>פריט</t>
        </is>
      </c>
      <c r="B1" s="4" t="inlineStr">
        <is>
          <t>לפי הספרים ₪</t>
        </is>
      </c>
      <c r="C1" s="4" t="inlineStr">
        <is>
          <t>לפי הדוח שהוגש ₪</t>
        </is>
      </c>
    </row>
    <row r="2">
      <c r="A2" s="5" t="inlineStr">
        <is>
          <t>מכירות יוני (נטו), כל החשבוניות בספרים</t>
        </is>
      </c>
      <c r="B2" s="6" t="n">
        <v>1326000</v>
      </c>
      <c r="C2" s="6" t="n">
        <v>1240000</v>
      </c>
    </row>
    <row r="3">
      <c r="A3" s="5" t="inlineStr">
        <is>
          <t xml:space="preserve">   מתוכן חשבונית 30.6 ללקוח "רשת צפון"</t>
        </is>
      </c>
      <c r="B3" s="6" t="n">
        <v>86000</v>
      </c>
      <c r="C3" s="6" t="n">
        <v>0</v>
      </c>
    </row>
    <row r="4">
      <c r="A4" s="5" t="inlineStr">
        <is>
          <t>קניות שוטפות (נטו)</t>
        </is>
      </c>
      <c r="B4" s="6" t="n">
        <v>610000</v>
      </c>
      <c r="C4" s="6" t="n">
        <v>610000</v>
      </c>
    </row>
    <row r="5">
      <c r="A5" s="5" t="inlineStr">
        <is>
          <t>חשבונית ספק מאפריל שהגיעה באיחור (נטו)</t>
        </is>
      </c>
      <c r="B5" s="6" t="n">
        <v>40000</v>
      </c>
      <c r="C5" s="6" t="n">
        <v>40000</v>
      </c>
    </row>
    <row r="6">
      <c r="A6" s="5" t="inlineStr">
        <is>
          <t>ליסינג רכב צמוד למנכ"ל (נטו), מע"מ נרשם בכרטסת תשומות</t>
        </is>
      </c>
      <c r="B6" s="6" t="n">
        <v>15000</v>
      </c>
      <c r="C6" s="6" t="n">
        <v>0</v>
      </c>
    </row>
    <row r="8">
      <c r="A8" t="inlineStr">
        <is>
          <t>הנחה: מע"מ 18%. אצל החברה, מע"מ תשומות על רכב צמוד למנכ"ל אינו מותר בקיזוז (לתרגול).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</cols>
  <sheetData>
    <row r="1">
      <c r="A1" s="4" t="inlineStr">
        <is>
          <t>ספק</t>
        </is>
      </c>
      <c r="B1" s="4" t="inlineStr">
        <is>
          <t>תאריך תשלום</t>
        </is>
      </c>
      <c r="C1" s="4" t="inlineStr">
        <is>
          <t>סכום חשבונית ₪</t>
        </is>
      </c>
      <c r="D1" s="4" t="inlineStr">
        <is>
          <t>שיעור באישור</t>
        </is>
      </c>
      <c r="E1" s="4" t="inlineStr">
        <is>
          <t>תוקף האישור</t>
        </is>
      </c>
      <c r="F1" s="4" t="inlineStr">
        <is>
          <t>שיעור שיש לנכות</t>
        </is>
      </c>
      <c r="G1" s="4" t="inlineStr">
        <is>
          <t>ניכוי ₪</t>
        </is>
      </c>
      <c r="H1" s="4" t="inlineStr">
        <is>
          <t>תשלום לספק ₪</t>
        </is>
      </c>
      <c r="J1" t="inlineStr">
        <is>
          <t>שיעור ברירת מחדל (לתרגול)</t>
        </is>
      </c>
      <c r="K1" s="7" t="n">
        <v>0.3</v>
      </c>
    </row>
    <row r="2">
      <c r="A2" s="5" t="inlineStr">
        <is>
          <t>ספק ייעוץ א'</t>
        </is>
      </c>
      <c r="B2" s="8" t="n">
        <v>46178</v>
      </c>
      <c r="C2" s="6" t="n">
        <v>48000</v>
      </c>
      <c r="D2" s="9" t="n">
        <v>0.05</v>
      </c>
      <c r="E2" s="8" t="n">
        <v>46477</v>
      </c>
      <c r="F2" s="9">
        <f>IF(E2&gt;=B2,D2,$K$1)</f>
        <v/>
      </c>
      <c r="G2" s="6">
        <f>C2*F2</f>
        <v/>
      </c>
      <c r="H2" s="6">
        <f>C2-G2</f>
        <v/>
      </c>
    </row>
    <row r="3">
      <c r="A3" s="5" t="inlineStr">
        <is>
          <t>שירותי ניקיון</t>
        </is>
      </c>
      <c r="B3" s="8" t="n">
        <v>46181</v>
      </c>
      <c r="C3" s="6" t="n">
        <v>12500</v>
      </c>
      <c r="D3" s="9" t="n">
        <v>0</v>
      </c>
      <c r="E3" s="8" t="n">
        <v>46387</v>
      </c>
      <c r="F3" s="9">
        <f>IF(E3&gt;=B3,D3,$K$1)</f>
        <v/>
      </c>
      <c r="G3" s="6">
        <f>C3*F3</f>
        <v/>
      </c>
      <c r="H3" s="6">
        <f>C3-G3</f>
        <v/>
      </c>
    </row>
    <row r="4">
      <c r="A4" s="5" t="inlineStr">
        <is>
          <t>קבלן תוכנה</t>
        </is>
      </c>
      <c r="B4" s="8" t="n">
        <v>46185</v>
      </c>
      <c r="C4" s="6" t="n">
        <v>86000</v>
      </c>
      <c r="D4" s="9" t="n">
        <v>0.02</v>
      </c>
      <c r="E4" s="8" t="n">
        <v>46173</v>
      </c>
      <c r="F4" s="9">
        <f>IF(E4&gt;=B4,D4,$K$1)</f>
        <v/>
      </c>
      <c r="G4" s="6">
        <f>C4*F4</f>
        <v/>
      </c>
      <c r="H4" s="6">
        <f>C4-G4</f>
        <v/>
      </c>
    </row>
    <row r="5">
      <c r="A5" s="5" t="inlineStr">
        <is>
          <t>משרד עורכי דין</t>
        </is>
      </c>
      <c r="B5" s="8" t="n">
        <v>46188</v>
      </c>
      <c r="C5" s="6" t="n">
        <v>32000</v>
      </c>
      <c r="D5" s="9" t="n">
        <v>0.1</v>
      </c>
      <c r="E5" s="8" t="n">
        <v>46387</v>
      </c>
      <c r="F5" s="9">
        <f>IF(E5&gt;=B5,D5,$K$1)</f>
        <v/>
      </c>
      <c r="G5" s="6">
        <f>C5*F5</f>
        <v/>
      </c>
      <c r="H5" s="6">
        <f>C5-G5</f>
        <v/>
      </c>
    </row>
    <row r="6">
      <c r="A6" s="5" t="inlineStr">
        <is>
          <t>הובלות צפון</t>
        </is>
      </c>
      <c r="B6" s="8" t="n">
        <v>46191</v>
      </c>
      <c r="C6" s="6" t="n">
        <v>27400</v>
      </c>
      <c r="D6" s="9" t="n">
        <v>0.03</v>
      </c>
      <c r="E6" s="8" t="n">
        <v>46190</v>
      </c>
      <c r="F6" s="9">
        <f>IF(E6&gt;=B6,D6,$K$1)</f>
        <v/>
      </c>
      <c r="G6" s="6">
        <f>C6*F6</f>
        <v/>
      </c>
      <c r="H6" s="6">
        <f>C6-G6</f>
        <v/>
      </c>
    </row>
    <row r="7">
      <c r="A7" s="5" t="inlineStr">
        <is>
          <t>מעצב גרפי</t>
        </is>
      </c>
      <c r="B7" s="8" t="n">
        <v>46195</v>
      </c>
      <c r="C7" s="6" t="n">
        <v>9800</v>
      </c>
      <c r="D7" s="9" t="n">
        <v>0</v>
      </c>
      <c r="E7" s="8" t="n">
        <v>46418</v>
      </c>
      <c r="F7" s="9">
        <f>IF(E7&gt;=B7,D7,$K$1)</f>
        <v/>
      </c>
      <c r="G7" s="6">
        <f>C7*F7</f>
        <v/>
      </c>
      <c r="H7" s="6">
        <f>C7-G7</f>
        <v/>
      </c>
    </row>
    <row r="8">
      <c r="A8" s="5" t="inlineStr">
        <is>
          <t>שיפוצים בע"מ</t>
        </is>
      </c>
      <c r="B8" s="8" t="n">
        <v>46198</v>
      </c>
      <c r="C8" s="6" t="n">
        <v>64000</v>
      </c>
      <c r="D8" s="9" t="n">
        <v>0.05</v>
      </c>
      <c r="E8" s="8" t="n">
        <v>46295</v>
      </c>
      <c r="F8" s="9">
        <f>IF(E8&gt;=B8,D8,$K$1)</f>
        <v/>
      </c>
      <c r="G8" s="6">
        <f>C8*F8</f>
        <v/>
      </c>
      <c r="H8" s="6">
        <f>C8-G8</f>
        <v/>
      </c>
    </row>
    <row r="9">
      <c r="G9" s="10">
        <f>SUM(G2:G8)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11" t="inlineStr">
        <is>
          <t>שאלה</t>
        </is>
      </c>
      <c r="B1" s="11" t="inlineStr">
        <is>
          <t>התשובה שלך</t>
        </is>
      </c>
      <c r="C1" s="11" t="inlineStr">
        <is>
          <t>בדיקה</t>
        </is>
      </c>
    </row>
    <row r="2">
      <c r="A2" s="2" t="inlineStr">
        <is>
          <t>מע"מ עסקאות לפי הספרים ₪</t>
        </is>
      </c>
      <c r="B2" s="12" t="n">
        <v>238680</v>
      </c>
      <c r="C2" s="13">
        <f>IF(B2="","",IF(ABS(B2-(238680))&lt;=1.0,"✓ נכון","✗ עוד לא"))</f>
        <v/>
      </c>
    </row>
    <row r="3">
      <c r="A3" s="2" t="inlineStr">
        <is>
          <t>מע"מ עסקאות לפי הדוח ₪</t>
        </is>
      </c>
      <c r="B3" s="12" t="n">
        <v>223200</v>
      </c>
      <c r="C3" s="13">
        <f>IF(B3="","",IF(ABS(B3-(223200))&lt;=1.0,"✓ נכון","✗ עוד לא"))</f>
        <v/>
      </c>
    </row>
    <row r="4">
      <c r="A4" s="2" t="inlineStr">
        <is>
          <t>מע"מ תשומות לפי הספרים ₪</t>
        </is>
      </c>
      <c r="B4" s="12" t="n">
        <v>119700</v>
      </c>
      <c r="C4" s="13">
        <f>IF(B4="","",IF(ABS(B4-(119700))&lt;=1.0,"✓ נכון","✗ עוד לא"))</f>
        <v/>
      </c>
    </row>
    <row r="5">
      <c r="A5" s="2" t="inlineStr">
        <is>
          <t>מע"מ תשומות לפי הדוח ₪</t>
        </is>
      </c>
      <c r="B5" s="12" t="n">
        <v>117000</v>
      </c>
      <c r="C5" s="13">
        <f>IF(B5="","",IF(ABS(B5-(117000))&lt;=1.0,"✓ נכון","✗ עוד לא"))</f>
        <v/>
      </c>
    </row>
    <row r="6">
      <c r="A6" s="2" t="inlineStr">
        <is>
          <t>הפרש בין "לתשלום לפי ספרים" ל"לתשלום לפי דוח" ₪</t>
        </is>
      </c>
      <c r="B6" s="12" t="n">
        <v>12780</v>
      </c>
      <c r="C6" s="13">
        <f>IF(B6="","",IF(ABS(B6-(12780))&lt;=1.0,"✓ נכון","✗ עוד לא"))</f>
        <v/>
      </c>
    </row>
    <row r="7">
      <c r="A7" s="2" t="inlineStr">
        <is>
          <t>מע"מ לתשלום נכון ליוני ₪</t>
        </is>
      </c>
      <c r="B7" s="12" t="n">
        <v>121680</v>
      </c>
      <c r="C7" s="13">
        <f>IF(B7="","",IF(ABS(B7-(121680))&lt;=1.0,"✓ נכון","✗ עוד לא"))</f>
        <v/>
      </c>
    </row>
    <row r="8">
      <c r="A8" s="2" t="inlineStr">
        <is>
          <t>סך ניכוי במקור ביוני ₪</t>
        </is>
      </c>
      <c r="B8" s="12">
        <f>ROUND('ניכוי במקור'!G9,0)</f>
        <v/>
      </c>
      <c r="C8" s="13">
        <f>IF(B8="","",IF(ABS(B8-(42820))&lt;=1.0,"✓ נכון","✗ עוד לא"))</f>
        <v/>
      </c>
    </row>
    <row r="9">
      <c r="A9" s="2" t="inlineStr">
        <is>
          <t>מקדמת מס הכנסה ליוני (מחזור 1,326,000 × 4.2%) ₪</t>
        </is>
      </c>
      <c r="B9" s="12">
        <f>1326000*0.042</f>
        <v/>
      </c>
      <c r="C9" s="13">
        <f>IF(B9="","",IF(ABS(B9-(55692))&lt;=1.0,"✓ נכון","✗ עוד לא"))</f>
        <v/>
      </c>
    </row>
    <row r="11">
      <c r="A11" s="14" t="inlineStr">
        <is>
          <t>הבדל 1: חשבונית 30.6 לא דווחה. מע"מ מדווח לפי תאריך החשבונית, לכן היא שייכת ליוני. מתקנים (דוח מתקן או לפי הנחיות).</t>
        </is>
      </c>
    </row>
    <row r="12">
      <c r="A12" s="14" t="inlineStr">
        <is>
          <t>הבדל 2: מע"מ על הליסינג נרשם בכרטסת תשומות בספרים. הוא לא מותר בקיזוז ולכן מסווגים אותו להוצאה.</t>
        </is>
      </c>
    </row>
    <row r="13">
      <c r="A13" s="14" t="inlineStr">
        <is>
          <t>חשבונית אפריל: מותר לקזז באיחור בתוך התקופה שקבועה בחוק. תקין.</t>
        </is>
      </c>
    </row>
    <row r="14">
      <c r="A14" s="14" t="inlineStr">
        <is>
          <t>ניכוי: לקבלן התוכנה האישור פג ב-31.5, ולהובלות צפון ב-17.6. ניכוי לפי ברירת המחדל.</t>
        </is>
      </c>
    </row>
    <row r="15">
      <c r="A15" s="14" t="inlineStr">
        <is>
          <t>בקרה שכדאי לבנות: בדיקה אוטומטית של תוקף אישורים לפני כל ריצת תשלומים (ממשק למערכת רשות המסים או רשימה מתעדכנת).</t>
        </is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conditionalFormatting sqref="C5">
    <cfRule type="expression" priority="7" dxfId="0">
      <formula>LEFT(C5,1)="✓"</formula>
    </cfRule>
    <cfRule type="expression" priority="8" dxfId="1">
      <formula>LEFT(C5,1)="✗"</formula>
    </cfRule>
  </conditionalFormatting>
  <conditionalFormatting sqref="C6">
    <cfRule type="expression" priority="9" dxfId="0">
      <formula>LEFT(C6,1)="✓"</formula>
    </cfRule>
    <cfRule type="expression" priority="10" dxfId="1">
      <formula>LEFT(C6,1)="✗"</formula>
    </cfRule>
  </conditionalFormatting>
  <conditionalFormatting sqref="C7">
    <cfRule type="expression" priority="11" dxfId="0">
      <formula>LEFT(C7,1)="✓"</formula>
    </cfRule>
    <cfRule type="expression" priority="12" dxfId="1">
      <formula>LEFT(C7,1)="✗"</formula>
    </cfRule>
  </conditionalFormatting>
  <conditionalFormatting sqref="C8">
    <cfRule type="expression" priority="13" dxfId="0">
      <formula>LEFT(C8,1)="✓"</formula>
    </cfRule>
    <cfRule type="expression" priority="14" dxfId="1">
      <formula>LEFT(C8,1)="✗"</formula>
    </cfRule>
  </conditionalFormatting>
  <conditionalFormatting sqref="C9">
    <cfRule type="expression" priority="15" dxfId="0">
      <formula>LEFT(C9,1)="✓"</formula>
    </cfRule>
    <cfRule type="expression" priority="16" dxfId="1">
      <formula>LEFT(C9,1)="✗"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