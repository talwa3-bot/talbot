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ע&quot;מ" sheetId="2" state="visible" r:id="rId2"/>
    <sheet name="ניכוי במקור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yyyy-mm-dd"/>
    <numFmt numFmtId="167" formatCode="dd/mm/yyyy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0" pivotButton="0" quotePrefix="0" xfId="0"/>
    <xf numFmtId="167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3 | מסים שוטפים מהצד של החברה | יוני 2026</t>
        </is>
      </c>
    </row>
    <row r="3">
      <c r="A3" s="2" t="inlineStr">
        <is>
          <t>כמבקרת בדקת הפרשה למס פעם ברבעון. כחשבת את אחראית על הדיווחים החודשיים. טעות כאן = קנס, ריבית והצמדה.</t>
        </is>
      </c>
    </row>
    <row r="4">
      <c r="A4" s="2" t="inlineStr">
        <is>
          <t>השיעורים בקובץ הם לתרגול. בעבודה תמיד מוודאים מול הוראות רשות המסים העדכניות ויועץ המס.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("מע"מ"): התאמה בין כרטסות המע"מ בספר הראשי לבין הדוח החודשי שהוגש. מצאי שני הבדלים והסבירי.</t>
        </is>
      </c>
    </row>
    <row r="9">
      <c r="A9" s="3" t="inlineStr">
        <is>
          <t>משימה 2 ("ניכוי במקור"): לכל תשלום, בדקי אם אישור הניכוי היה בתוקף ביום התשלום.</t>
        </is>
      </c>
    </row>
    <row r="10">
      <c r="A10" s="2" t="inlineStr">
        <is>
          <t xml:space="preserve">   לא בתוקף = ניכוי בשיעור ברירת המחדל שבתא הפרמטר (בקובץ 30%, לתרגול).</t>
        </is>
      </c>
    </row>
    <row r="11">
      <c r="A11" s="3" t="inlineStr">
        <is>
          <t>משימה 3 ("מקדמות"): מקדמת מס הכנסה = מחזור החודש × שיעור המקדמה.</t>
        </is>
      </c>
    </row>
    <row r="12">
      <c r="A12" s="3" t="inlineStr">
        <is>
          <t>משימה 4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4" t="inlineStr">
        <is>
          <t>פריט</t>
        </is>
      </c>
      <c r="B1" s="4" t="inlineStr">
        <is>
          <t>לפי הספרים ₪</t>
        </is>
      </c>
      <c r="C1" s="4" t="inlineStr">
        <is>
          <t>לפי הדוח שהוגש ₪</t>
        </is>
      </c>
    </row>
    <row r="2">
      <c r="A2" s="5" t="inlineStr">
        <is>
          <t>מכירות יוני (נטו), כל החשבוניות בספרים</t>
        </is>
      </c>
      <c r="B2" s="6" t="n">
        <v>1326000</v>
      </c>
      <c r="C2" s="6" t="n">
        <v>1240000</v>
      </c>
    </row>
    <row r="3">
      <c r="A3" s="5" t="inlineStr">
        <is>
          <t xml:space="preserve">   מתוכן חשבונית 30.6 ללקוח "רשת צפון"</t>
        </is>
      </c>
      <c r="B3" s="6" t="n">
        <v>86000</v>
      </c>
      <c r="C3" s="6" t="n">
        <v>0</v>
      </c>
    </row>
    <row r="4">
      <c r="A4" s="5" t="inlineStr">
        <is>
          <t>קניות שוטפות (נטו)</t>
        </is>
      </c>
      <c r="B4" s="6" t="n">
        <v>610000</v>
      </c>
      <c r="C4" s="6" t="n">
        <v>610000</v>
      </c>
    </row>
    <row r="5">
      <c r="A5" s="5" t="inlineStr">
        <is>
          <t>חשבונית ספק מאפריל שהגיעה באיחור (נטו)</t>
        </is>
      </c>
      <c r="B5" s="6" t="n">
        <v>40000</v>
      </c>
      <c r="C5" s="6" t="n">
        <v>40000</v>
      </c>
    </row>
    <row r="6">
      <c r="A6" s="5" t="inlineStr">
        <is>
          <t>ליסינג רכב צמוד למנכ"ל (נטו), מע"מ נרשם בכרטסת תשומות</t>
        </is>
      </c>
      <c r="B6" s="6" t="n">
        <v>15000</v>
      </c>
      <c r="C6" s="6" t="n">
        <v>0</v>
      </c>
    </row>
    <row r="8">
      <c r="A8" t="inlineStr">
        <is>
          <t>הנחה: מע"מ 18%. אצל החברה, מע"מ תשומות על רכב צמוד למנכ"ל אינו מותר בקיזוז (לתרגול).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4" t="inlineStr">
        <is>
          <t>ספק</t>
        </is>
      </c>
      <c r="B1" s="4" t="inlineStr">
        <is>
          <t>תאריך תשלום</t>
        </is>
      </c>
      <c r="C1" s="4" t="inlineStr">
        <is>
          <t>סכום חשבונית ₪</t>
        </is>
      </c>
      <c r="D1" s="4" t="inlineStr">
        <is>
          <t>שיעור באישור</t>
        </is>
      </c>
      <c r="E1" s="4" t="inlineStr">
        <is>
          <t>תוקף האישור</t>
        </is>
      </c>
      <c r="F1" s="4" t="inlineStr">
        <is>
          <t>שיעור שיש לנכות</t>
        </is>
      </c>
      <c r="G1" s="4" t="inlineStr">
        <is>
          <t>ניכוי ₪</t>
        </is>
      </c>
      <c r="H1" s="4" t="inlineStr">
        <is>
          <t>תשלום לספק ₪</t>
        </is>
      </c>
      <c r="J1" t="inlineStr">
        <is>
          <t>שיעור ברירת מחדל (לתרגול)</t>
        </is>
      </c>
      <c r="K1" s="7" t="n">
        <v>0.3</v>
      </c>
    </row>
    <row r="2">
      <c r="A2" s="5" t="inlineStr">
        <is>
          <t>ספק ייעוץ א'</t>
        </is>
      </c>
      <c r="B2" s="8" t="n">
        <v>46178</v>
      </c>
      <c r="C2" s="6" t="n">
        <v>48000</v>
      </c>
      <c r="D2" s="9" t="n">
        <v>0.05</v>
      </c>
      <c r="E2" s="8" t="n">
        <v>46477</v>
      </c>
      <c r="F2" s="10" t="n"/>
      <c r="G2" s="11" t="n"/>
      <c r="H2" s="11" t="n"/>
    </row>
    <row r="3">
      <c r="A3" s="5" t="inlineStr">
        <is>
          <t>שירותי ניקיון</t>
        </is>
      </c>
      <c r="B3" s="8" t="n">
        <v>46181</v>
      </c>
      <c r="C3" s="6" t="n">
        <v>12500</v>
      </c>
      <c r="D3" s="9" t="n">
        <v>0</v>
      </c>
      <c r="E3" s="8" t="n">
        <v>46387</v>
      </c>
      <c r="F3" s="10" t="n"/>
      <c r="G3" s="11" t="n"/>
      <c r="H3" s="11" t="n"/>
    </row>
    <row r="4">
      <c r="A4" s="5" t="inlineStr">
        <is>
          <t>קבלן תוכנה</t>
        </is>
      </c>
      <c r="B4" s="8" t="n">
        <v>46185</v>
      </c>
      <c r="C4" s="6" t="n">
        <v>86000</v>
      </c>
      <c r="D4" s="9" t="n">
        <v>0.02</v>
      </c>
      <c r="E4" s="8" t="n">
        <v>46173</v>
      </c>
      <c r="F4" s="10" t="n"/>
      <c r="G4" s="11" t="n"/>
      <c r="H4" s="11" t="n"/>
    </row>
    <row r="5">
      <c r="A5" s="5" t="inlineStr">
        <is>
          <t>משרד עורכי דין</t>
        </is>
      </c>
      <c r="B5" s="8" t="n">
        <v>46188</v>
      </c>
      <c r="C5" s="6" t="n">
        <v>32000</v>
      </c>
      <c r="D5" s="9" t="n">
        <v>0.1</v>
      </c>
      <c r="E5" s="8" t="n">
        <v>46387</v>
      </c>
      <c r="F5" s="10" t="n"/>
      <c r="G5" s="11" t="n"/>
      <c r="H5" s="11" t="n"/>
    </row>
    <row r="6">
      <c r="A6" s="5" t="inlineStr">
        <is>
          <t>הובלות צפון</t>
        </is>
      </c>
      <c r="B6" s="8" t="n">
        <v>46191</v>
      </c>
      <c r="C6" s="6" t="n">
        <v>27400</v>
      </c>
      <c r="D6" s="9" t="n">
        <v>0.03</v>
      </c>
      <c r="E6" s="8" t="n">
        <v>46190</v>
      </c>
      <c r="F6" s="10" t="n"/>
      <c r="G6" s="11" t="n"/>
      <c r="H6" s="11" t="n"/>
    </row>
    <row r="7">
      <c r="A7" s="5" t="inlineStr">
        <is>
          <t>מעצב גרפי</t>
        </is>
      </c>
      <c r="B7" s="8" t="n">
        <v>46195</v>
      </c>
      <c r="C7" s="6" t="n">
        <v>9800</v>
      </c>
      <c r="D7" s="9" t="n">
        <v>0</v>
      </c>
      <c r="E7" s="8" t="n">
        <v>46418</v>
      </c>
      <c r="F7" s="10" t="n"/>
      <c r="G7" s="11" t="n"/>
      <c r="H7" s="11" t="n"/>
    </row>
    <row r="8">
      <c r="A8" s="5" t="inlineStr">
        <is>
          <t>שיפוצים בע"מ</t>
        </is>
      </c>
      <c r="B8" s="8" t="n">
        <v>46198</v>
      </c>
      <c r="C8" s="6" t="n">
        <v>64000</v>
      </c>
      <c r="D8" s="9" t="n">
        <v>0.05</v>
      </c>
      <c r="E8" s="8" t="n">
        <v>46295</v>
      </c>
      <c r="F8" s="10" t="n"/>
      <c r="G8" s="11" t="n"/>
      <c r="H8" s="11" t="n"/>
    </row>
    <row r="9">
      <c r="G9" s="12">
        <f>SUM(G2:G8)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3" t="inlineStr">
        <is>
          <t>שאלה</t>
        </is>
      </c>
      <c r="B1" s="13" t="inlineStr">
        <is>
          <t>התשובה שלך</t>
        </is>
      </c>
      <c r="C1" s="13" t="inlineStr">
        <is>
          <t>בדיקה</t>
        </is>
      </c>
    </row>
    <row r="2">
      <c r="A2" s="2" t="inlineStr">
        <is>
          <t>מע"מ עסקאות לפי הספרים ₪</t>
        </is>
      </c>
      <c r="B2" s="14" t="n"/>
      <c r="C2" s="15">
        <f>IF(B2="","",IF(ABS(B2-(238680))&lt;=1.0,"✓ נכון","✗ עוד לא"))</f>
        <v/>
      </c>
    </row>
    <row r="3">
      <c r="A3" s="2" t="inlineStr">
        <is>
          <t>מע"מ עסקאות לפי הדוח ₪</t>
        </is>
      </c>
      <c r="B3" s="14" t="n"/>
      <c r="C3" s="15">
        <f>IF(B3="","",IF(ABS(B3-(223200))&lt;=1.0,"✓ נכון","✗ עוד לא"))</f>
        <v/>
      </c>
    </row>
    <row r="4">
      <c r="A4" s="2" t="inlineStr">
        <is>
          <t>מע"מ תשומות לפי הספרים ₪</t>
        </is>
      </c>
      <c r="B4" s="14" t="n"/>
      <c r="C4" s="15">
        <f>IF(B4="","",IF(ABS(B4-(119700))&lt;=1.0,"✓ נכון","✗ עוד לא"))</f>
        <v/>
      </c>
    </row>
    <row r="5">
      <c r="A5" s="2" t="inlineStr">
        <is>
          <t>מע"מ תשומות לפי הדוח ₪</t>
        </is>
      </c>
      <c r="B5" s="14" t="n"/>
      <c r="C5" s="15">
        <f>IF(B5="","",IF(ABS(B5-(117000))&lt;=1.0,"✓ נכון","✗ עוד לא"))</f>
        <v/>
      </c>
    </row>
    <row r="6">
      <c r="A6" s="2" t="inlineStr">
        <is>
          <t>הפרש בין "לתשלום לפי ספרים" ל"לתשלום לפי דוח" ₪</t>
        </is>
      </c>
      <c r="B6" s="14" t="n"/>
      <c r="C6" s="15">
        <f>IF(B6="","",IF(ABS(B6-(12780))&lt;=1.0,"✓ נכון","✗ עוד לא"))</f>
        <v/>
      </c>
    </row>
    <row r="7">
      <c r="A7" s="2" t="inlineStr">
        <is>
          <t>מע"מ לתשלום נכון ליוני ₪</t>
        </is>
      </c>
      <c r="B7" s="14" t="n"/>
      <c r="C7" s="15">
        <f>IF(B7="","",IF(ABS(B7-(121680))&lt;=1.0,"✓ נכון","✗ עוד לא"))</f>
        <v/>
      </c>
    </row>
    <row r="8">
      <c r="A8" s="2" t="inlineStr">
        <is>
          <t>סך ניכוי במקור ביוני ₪</t>
        </is>
      </c>
      <c r="B8" s="14" t="n"/>
      <c r="C8" s="15">
        <f>IF(B8="","",IF(ABS(B8-(42820))&lt;=1.0,"✓ נכון","✗ עוד לא"))</f>
        <v/>
      </c>
    </row>
    <row r="9">
      <c r="A9" s="2" t="inlineStr">
        <is>
          <t>מקדמת מס הכנסה ליוני (מחזור 1,326,000 × 4.2%) ₪</t>
        </is>
      </c>
      <c r="B9" s="14" t="n"/>
      <c r="C9" s="15">
        <f>IF(B9="","",IF(ABS(B9-(55692))&lt;=1.0,"✓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