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לקוחות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165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6 | מדדי SaaS שהדירקטוריון שואל עליהם | נובורה</t>
        </is>
      </c>
    </row>
    <row r="3">
      <c r="A3" s="2" t="inlineStr">
        <is>
          <t>הסיפור: המשקיעים לא שואלים רק על רווח. הם שואלים על ARR, שימור, ויעילות צמיחה. החשבת אחראית שהמספרים נכונים ועקביים.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("לקוחות"): סווגי כל לקוח לפי השינוי ב-ARR מ-31.12.2025 ל-30.6.2026: חדש / הרחבה / צמצום / נטישה / ללא שינוי.</t>
        </is>
      </c>
    </row>
    <row r="8">
      <c r="A8" s="3" t="inlineStr">
        <is>
          <t>משימה 2: גשר ARR: פתיחה + חדשים + הרחבות פחות צמצומים פחות נטישה = סגירה.</t>
        </is>
      </c>
    </row>
    <row r="9">
      <c r="A9" s="3" t="inlineStr">
        <is>
          <t>משימה 3: NRR (שימור הכנסות נטו) ו-GRR (שימור ברוטו). שניהם רק על לקוחות שהיו בפתיחה.</t>
        </is>
      </c>
    </row>
    <row r="10">
      <c r="A10" s="2" t="inlineStr">
        <is>
          <t xml:space="preserve">   NRR = (פתיחה + הרחבה - צמצום - נטישה) / פתיחה.  GRR = (פתיחה - צמצום - נטישה) / פתיחה.</t>
        </is>
      </c>
    </row>
    <row r="11">
      <c r="A11" s="3" t="inlineStr">
        <is>
          <t>משימה 4: החזר עלות רכישת לקוח (CAC Payback) בחודשים = הוצאות רכישה / (ARR חדש × שיעור רווח גולמי) × 12.</t>
        </is>
      </c>
    </row>
    <row r="12">
      <c r="A12" s="2" t="inlineStr">
        <is>
          <t xml:space="preserve">   הוצאות רכישה לחציון: 2,400,000 $. שיעור רווח גולמי: 78%.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4" t="inlineStr">
        <is>
          <t>לקוח</t>
        </is>
      </c>
      <c r="B1" s="4" t="inlineStr">
        <is>
          <t>ARR 31.12.2025 $</t>
        </is>
      </c>
      <c r="C1" s="4" t="inlineStr">
        <is>
          <t>ARR 30.6.2026 $</t>
        </is>
      </c>
      <c r="D1" s="4" t="inlineStr">
        <is>
          <t>סיווג</t>
        </is>
      </c>
      <c r="E1" s="4" t="inlineStr">
        <is>
          <t>שינוי $</t>
        </is>
      </c>
    </row>
    <row r="2">
      <c r="A2" s="5" t="inlineStr">
        <is>
          <t>CUS-101</t>
        </is>
      </c>
      <c r="B2" s="6" t="n">
        <v>484000</v>
      </c>
      <c r="C2" s="6" t="n">
        <v>435000</v>
      </c>
      <c r="D2" s="7" t="n"/>
      <c r="E2" s="6">
        <f>C2-B2</f>
        <v/>
      </c>
    </row>
    <row r="3">
      <c r="A3" s="5" t="inlineStr">
        <is>
          <t>CUS-102</t>
        </is>
      </c>
      <c r="B3" s="6" t="n">
        <v>0</v>
      </c>
      <c r="C3" s="6" t="n">
        <v>272000</v>
      </c>
      <c r="D3" s="7" t="n"/>
      <c r="E3" s="6">
        <f>C3-B3</f>
        <v/>
      </c>
    </row>
    <row r="4">
      <c r="A4" s="5" t="inlineStr">
        <is>
          <t>CUS-103</t>
        </is>
      </c>
      <c r="B4" s="6" t="n">
        <v>0</v>
      </c>
      <c r="C4" s="6" t="n">
        <v>391000</v>
      </c>
      <c r="D4" s="7" t="n"/>
      <c r="E4" s="6">
        <f>C4-B4</f>
        <v/>
      </c>
    </row>
    <row r="5">
      <c r="A5" s="5" t="inlineStr">
        <is>
          <t>CUS-104</t>
        </is>
      </c>
      <c r="B5" s="6" t="n">
        <v>695000</v>
      </c>
      <c r="C5" s="6" t="n">
        <v>556000</v>
      </c>
      <c r="D5" s="7" t="n"/>
      <c r="E5" s="6">
        <f>C5-B5</f>
        <v/>
      </c>
    </row>
    <row r="6">
      <c r="A6" s="5" t="inlineStr">
        <is>
          <t>CUS-105</t>
        </is>
      </c>
      <c r="B6" s="6" t="n">
        <v>115000</v>
      </c>
      <c r="C6" s="6" t="n">
        <v>0</v>
      </c>
      <c r="D6" s="7" t="n"/>
      <c r="E6" s="6">
        <f>C6-B6</f>
        <v/>
      </c>
    </row>
    <row r="7">
      <c r="A7" s="5" t="inlineStr">
        <is>
          <t>CUS-106</t>
        </is>
      </c>
      <c r="B7" s="6" t="n">
        <v>236000</v>
      </c>
      <c r="C7" s="6" t="n">
        <v>236000</v>
      </c>
      <c r="D7" s="7" t="n"/>
      <c r="E7" s="6">
        <f>C7-B7</f>
        <v/>
      </c>
    </row>
    <row r="8">
      <c r="A8" s="5" t="inlineStr">
        <is>
          <t>CUS-107</t>
        </is>
      </c>
      <c r="B8" s="6" t="n">
        <v>0</v>
      </c>
      <c r="C8" s="6" t="n">
        <v>60000</v>
      </c>
      <c r="D8" s="7" t="n"/>
      <c r="E8" s="6">
        <f>C8-B8</f>
        <v/>
      </c>
    </row>
    <row r="9">
      <c r="A9" s="5" t="inlineStr">
        <is>
          <t>CUS-108</t>
        </is>
      </c>
      <c r="B9" s="6" t="n">
        <v>0</v>
      </c>
      <c r="C9" s="6" t="n">
        <v>131000</v>
      </c>
      <c r="D9" s="7" t="n"/>
      <c r="E9" s="6">
        <f>C9-B9</f>
        <v/>
      </c>
    </row>
    <row r="10">
      <c r="A10" s="5" t="inlineStr">
        <is>
          <t>CUS-109</t>
        </is>
      </c>
      <c r="B10" s="6" t="n">
        <v>824000</v>
      </c>
      <c r="C10" s="6" t="n">
        <v>1071000</v>
      </c>
      <c r="D10" s="7" t="n"/>
      <c r="E10" s="6">
        <f>C10-B10</f>
        <v/>
      </c>
    </row>
    <row r="11">
      <c r="A11" s="5" t="inlineStr">
        <is>
          <t>CUS-110</t>
        </is>
      </c>
      <c r="B11" s="6" t="n">
        <v>294000</v>
      </c>
      <c r="C11" s="6" t="n">
        <v>294000</v>
      </c>
      <c r="D11" s="7" t="n"/>
      <c r="E11" s="6">
        <f>C11-B11</f>
        <v/>
      </c>
    </row>
    <row r="12">
      <c r="A12" s="5" t="inlineStr">
        <is>
          <t>CUS-111</t>
        </is>
      </c>
      <c r="B12" s="6" t="n">
        <v>259000</v>
      </c>
      <c r="C12" s="6" t="n">
        <v>233000</v>
      </c>
      <c r="D12" s="7" t="n"/>
      <c r="E12" s="6">
        <f>C12-B12</f>
        <v/>
      </c>
    </row>
    <row r="13">
      <c r="A13" s="5" t="inlineStr">
        <is>
          <t>CUS-112</t>
        </is>
      </c>
      <c r="B13" s="6" t="n">
        <v>0</v>
      </c>
      <c r="C13" s="6" t="n">
        <v>179000</v>
      </c>
      <c r="D13" s="7" t="n"/>
      <c r="E13" s="6">
        <f>C13-B13</f>
        <v/>
      </c>
    </row>
    <row r="14">
      <c r="A14" s="5" t="inlineStr">
        <is>
          <t>CUS-113</t>
        </is>
      </c>
      <c r="B14" s="6" t="n">
        <v>105000</v>
      </c>
      <c r="C14" s="6" t="n">
        <v>94000</v>
      </c>
      <c r="D14" s="7" t="n"/>
      <c r="E14" s="6">
        <f>C14-B14</f>
        <v/>
      </c>
    </row>
    <row r="15">
      <c r="A15" s="5" t="inlineStr">
        <is>
          <t>CUS-114</t>
        </is>
      </c>
      <c r="B15" s="6" t="n">
        <v>554000</v>
      </c>
      <c r="C15" s="6" t="n">
        <v>443000</v>
      </c>
      <c r="D15" s="7" t="n"/>
      <c r="E15" s="6">
        <f>C15-B15</f>
        <v/>
      </c>
    </row>
    <row r="16">
      <c r="A16" s="5" t="inlineStr">
        <is>
          <t>CUS-115</t>
        </is>
      </c>
      <c r="B16" s="6" t="n">
        <v>586000</v>
      </c>
      <c r="C16" s="6" t="n">
        <v>761000</v>
      </c>
      <c r="D16" s="7" t="n"/>
      <c r="E16" s="6">
        <f>C16-B16</f>
        <v/>
      </c>
    </row>
    <row r="17">
      <c r="A17" s="5" t="inlineStr">
        <is>
          <t>CUS-116</t>
        </is>
      </c>
      <c r="B17" s="6" t="n">
        <v>433000</v>
      </c>
      <c r="C17" s="6" t="n">
        <v>649000</v>
      </c>
      <c r="D17" s="7" t="n"/>
      <c r="E17" s="6">
        <f>C17-B17</f>
        <v/>
      </c>
    </row>
    <row r="18">
      <c r="A18" s="5" t="inlineStr">
        <is>
          <t>CUS-117</t>
        </is>
      </c>
      <c r="B18" s="6" t="n">
        <v>626000</v>
      </c>
      <c r="C18" s="6" t="n">
        <v>719000</v>
      </c>
      <c r="D18" s="7" t="n"/>
      <c r="E18" s="6">
        <f>C18-B18</f>
        <v/>
      </c>
    </row>
    <row r="19">
      <c r="A19" s="5" t="inlineStr">
        <is>
          <t>CUS-118</t>
        </is>
      </c>
      <c r="B19" s="6" t="n">
        <v>78000</v>
      </c>
      <c r="C19" s="6" t="n">
        <v>78000</v>
      </c>
      <c r="D19" s="7" t="n"/>
      <c r="E19" s="6">
        <f>C19-B19</f>
        <v/>
      </c>
    </row>
    <row r="20">
      <c r="A20" s="5" t="inlineStr">
        <is>
          <t>CUS-119</t>
        </is>
      </c>
      <c r="B20" s="6" t="n">
        <v>329000</v>
      </c>
      <c r="C20" s="6" t="n">
        <v>427000</v>
      </c>
      <c r="D20" s="7" t="n"/>
      <c r="E20" s="6">
        <f>C20-B20</f>
        <v/>
      </c>
    </row>
    <row r="21">
      <c r="A21" s="5" t="inlineStr">
        <is>
          <t>CUS-120</t>
        </is>
      </c>
      <c r="B21" s="6" t="n">
        <v>0</v>
      </c>
      <c r="C21" s="6" t="n">
        <v>93000</v>
      </c>
      <c r="D21" s="7" t="n"/>
      <c r="E21" s="6">
        <f>C21-B21</f>
        <v/>
      </c>
    </row>
    <row r="22">
      <c r="A22" s="5" t="inlineStr">
        <is>
          <t>CUS-121</t>
        </is>
      </c>
      <c r="B22" s="6" t="n">
        <v>0</v>
      </c>
      <c r="C22" s="6" t="n">
        <v>161000</v>
      </c>
      <c r="D22" s="7" t="n"/>
      <c r="E22" s="6">
        <f>C22-B22</f>
        <v/>
      </c>
    </row>
    <row r="23">
      <c r="A23" s="5" t="inlineStr">
        <is>
          <t>CUS-122</t>
        </is>
      </c>
      <c r="B23" s="6" t="n">
        <v>133000</v>
      </c>
      <c r="C23" s="6" t="n">
        <v>152000</v>
      </c>
      <c r="D23" s="7" t="n"/>
      <c r="E23" s="6">
        <f>C23-B23</f>
        <v/>
      </c>
    </row>
    <row r="24">
      <c r="A24" s="5" t="inlineStr">
        <is>
          <t>CUS-123</t>
        </is>
      </c>
      <c r="B24" s="6" t="n">
        <v>462000</v>
      </c>
      <c r="C24" s="6" t="n">
        <v>462000</v>
      </c>
      <c r="D24" s="7" t="n"/>
      <c r="E24" s="6">
        <f>C24-B24</f>
        <v/>
      </c>
    </row>
    <row r="25">
      <c r="A25" s="5" t="inlineStr">
        <is>
          <t>CUS-124</t>
        </is>
      </c>
      <c r="B25" s="6" t="n">
        <v>83000</v>
      </c>
      <c r="C25" s="6" t="n">
        <v>95000</v>
      </c>
      <c r="D25" s="7" t="n"/>
      <c r="E25" s="6">
        <f>C25-B25</f>
        <v/>
      </c>
    </row>
    <row r="26">
      <c r="A26" s="5" t="inlineStr">
        <is>
          <t>CUS-125</t>
        </is>
      </c>
      <c r="B26" s="6" t="n">
        <v>609000</v>
      </c>
      <c r="C26" s="6" t="n">
        <v>700000</v>
      </c>
      <c r="D26" s="7" t="n"/>
      <c r="E26" s="6">
        <f>C26-B26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8" t="inlineStr">
        <is>
          <t>שאלה</t>
        </is>
      </c>
      <c r="B1" s="8" t="inlineStr">
        <is>
          <t>התשובה שלך</t>
        </is>
      </c>
      <c r="C1" s="8" t="inlineStr">
        <is>
          <t>בדיקה</t>
        </is>
      </c>
    </row>
    <row r="2">
      <c r="A2" s="2" t="inlineStr">
        <is>
          <t>ARR פתיחה $</t>
        </is>
      </c>
      <c r="B2" s="9" t="n"/>
      <c r="C2" s="10">
        <f>IF(B2="","",IF(ABS(B2-(6905000))&lt;=1.0,"✓ נכון","✗ עוד לא"))</f>
        <v/>
      </c>
    </row>
    <row r="3">
      <c r="A3" s="2" t="inlineStr">
        <is>
          <t>ARR חדש $</t>
        </is>
      </c>
      <c r="B3" s="9" t="n"/>
      <c r="C3" s="10">
        <f>IF(B3="","",IF(ABS(B3-(1287000))&lt;=1.0,"✓ נכון","✗ עוד לא"))</f>
        <v/>
      </c>
    </row>
    <row r="4">
      <c r="A4" s="2" t="inlineStr">
        <is>
          <t>הרחבות $</t>
        </is>
      </c>
      <c r="B4" s="9" t="n"/>
      <c r="C4" s="10">
        <f>IF(B4="","",IF(ABS(B4-(951000))&lt;=1.0,"✓ נכון","✗ עוד לא"))</f>
        <v/>
      </c>
    </row>
    <row r="5">
      <c r="A5" s="2" t="inlineStr">
        <is>
          <t>צמצומים $ (חיובי)</t>
        </is>
      </c>
      <c r="B5" s="9" t="n"/>
      <c r="C5" s="10">
        <f>IF(B5="","",IF(ABS(B5-(336000))&lt;=1.0,"✓ נכון","✗ עוד לא"))</f>
        <v/>
      </c>
    </row>
    <row r="6">
      <c r="A6" s="2" t="inlineStr">
        <is>
          <t>נטישה $ (חיובי)</t>
        </is>
      </c>
      <c r="B6" s="9" t="n"/>
      <c r="C6" s="10">
        <f>IF(B6="","",IF(ABS(B6-(115000))&lt;=1.0,"✓ נכון","✗ עוד לא"))</f>
        <v/>
      </c>
    </row>
    <row r="7">
      <c r="A7" s="2" t="inlineStr">
        <is>
          <t>ARR סגירה $</t>
        </is>
      </c>
      <c r="B7" s="9" t="n"/>
      <c r="C7" s="10">
        <f>IF(B7="","",IF(ABS(B7-(8692000))&lt;=1.0,"✓ נכון","✗ עוד לא"))</f>
        <v/>
      </c>
    </row>
    <row r="8">
      <c r="A8" s="2" t="inlineStr">
        <is>
          <t>NRR</t>
        </is>
      </c>
      <c r="B8" s="11" t="n"/>
      <c r="C8" s="10">
        <f>IF(B8="","",IF(ABS(B8-(1.0724))&lt;=0.005,"✓ נכון","✗ עוד לא"))</f>
        <v/>
      </c>
    </row>
    <row r="9">
      <c r="A9" s="2" t="inlineStr">
        <is>
          <t>GRR</t>
        </is>
      </c>
      <c r="B9" s="11" t="n"/>
      <c r="C9" s="10">
        <f>IF(B9="","",IF(ABS(B9-(0.9347))&lt;=0.005,"✓ נכון","✗ עוד לא"))</f>
        <v/>
      </c>
    </row>
    <row r="10">
      <c r="A10" s="2" t="inlineStr">
        <is>
          <t>CAC Payback בחודשים (ספרה אחת)</t>
        </is>
      </c>
      <c r="B10" s="12" t="n"/>
      <c r="C10" s="10">
        <f>IF(B10="","",IF(ABS(B10-(28.7))&lt;=0.05,"✓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