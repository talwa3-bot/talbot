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לוח סגירה" sheetId="2" state="visible" r:id="rId2"/>
    <sheet name="חוזים" sheetId="3" state="visible" r:id="rId3"/>
    <sheet name="עמלות" sheetId="4" state="visible" r:id="rId4"/>
    <sheet name="מניות" sheetId="5" state="visible" r:id="rId5"/>
    <sheet name="שערוך" sheetId="6" state="visible" r:id="rId6"/>
    <sheet name="שאלו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;[Red]-#,##0"/>
    <numFmt numFmtId="167" formatCode="#,##0.00;[Red]-#,##0.0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0" fillId="3" borderId="1" pivotButton="0" quotePrefix="0" xfId="0"/>
    <xf numFmtId="0" fontId="2" fillId="0" borderId="0" pivotButton="0" quotePrefix="0" xfId="0"/>
    <xf numFmtId="166" fontId="0" fillId="0" borderId="0" pivotButton="0" quotePrefix="0" xfId="0"/>
    <xf numFmtId="167" fontId="0" fillId="3" borderId="1" pivotButton="0" quotePrefix="0" xfId="0"/>
    <xf numFmtId="167" fontId="0" fillId="0" borderId="1" pivotButton="0" quotePrefix="0" xfId="0"/>
    <xf numFmtId="0" fontId="3" fillId="2" borderId="0" pivotButton="0" quotePrefix="0" xfId="0"/>
    <xf numFmtId="1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2 | הובלת סגירת יוני 2026 | נובורה טכנולוגיות (נאסד"ק, US GAAP)</t>
        </is>
      </c>
    </row>
    <row r="3">
      <c r="A3" s="2" t="inlineStr">
        <is>
          <t>הסיפור: את החשבת החדשה. היום WD3 (יום העבודה השלישי של יולי). הסגירה באיחור, והמבקרים מגיעים לסקירה רבעונית.</t>
        </is>
      </c>
    </row>
    <row r="4">
      <c r="A4" s="2" t="inlineStr">
        <is>
          <t>מטבע הפעילות של החברה הוא דולר (כמו ברוב חברות ההייטק הישראליות). שכר וחלק מהספקים בשקלים.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(גיליון "לוח סגירה"): כמה משימות שהיו צריכות להסתיים לפני WD3 עוד לא הושלמו? מה הנתיב הקריטי?</t>
        </is>
      </c>
    </row>
    <row r="9">
      <c r="A9" s="3" t="inlineStr">
        <is>
          <t>משימה 2 ("חוזים"): חשבי הכנסה ליוני והכנסות נדחות ל-30.6. כל החוזים מחויבים שנתית מראש.</t>
        </is>
      </c>
    </row>
    <row r="10">
      <c r="A10" s="2" t="inlineStr">
        <is>
          <t xml:space="preserve">   יש בספר הראשי טעות אחת בהכנסות. מצאי אותה וחשבי את פקודת התיקון.</t>
        </is>
      </c>
    </row>
    <row r="11">
      <c r="A11" s="3" t="inlineStr">
        <is>
          <t>משימה 3 ("עמלות"): הפחתה חודשית של עמלות מכירה שהוונו (ASC 340-40), על פני 48 חודשים.</t>
        </is>
      </c>
    </row>
    <row r="12">
      <c r="A12" s="3" t="inlineStr">
        <is>
          <t>משימה 4 ("מניות"): הוצאת תגמול מבוסס מניות ליוני (ASC 718), קו ישר 48 חודשים, צוק שנה.</t>
        </is>
      </c>
    </row>
    <row r="13">
      <c r="A13" s="2" t="inlineStr">
        <is>
          <t xml:space="preserve">   מדיניות: חילוטים מטופלים כשהם קורים. שני עובדים עזבו ב-31.5. חשבי כמה הוצאה לבטל.</t>
        </is>
      </c>
    </row>
    <row r="14">
      <c r="A14" s="3" t="inlineStr">
        <is>
          <t>משימה 5 ("שערוך"): שערוך יתרות כספיות בשקלים. שער 31.5: 3.70. שער 30.6: 3.62 (שקל לדולר).</t>
        </is>
      </c>
    </row>
    <row r="15">
      <c r="A15" s="3" t="inlineStr">
        <is>
          <t>משימה 6 ("שאלות"): ענו על השאלות. כל תשובה נבדקת מיד.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8" customWidth="1" min="4" max="4"/>
    <col width="20" customWidth="1" min="5" max="5"/>
  </cols>
  <sheetData>
    <row r="1">
      <c r="A1" s="4" t="inlineStr">
        <is>
          <t>יעד</t>
        </is>
      </c>
      <c r="B1" s="4" t="inlineStr">
        <is>
          <t>משימה</t>
        </is>
      </c>
      <c r="C1" s="4" t="inlineStr">
        <is>
          <t>אחראי</t>
        </is>
      </c>
      <c r="D1" s="4" t="inlineStr">
        <is>
          <t>סטטוס</t>
        </is>
      </c>
      <c r="E1" s="4" t="inlineStr">
        <is>
          <t>באיחור? (היום WD3)</t>
        </is>
      </c>
    </row>
    <row r="2">
      <c r="A2" s="5" t="inlineStr">
        <is>
          <t>WD-2</t>
        </is>
      </c>
      <c r="B2" s="5" t="inlineStr">
        <is>
          <t>נעילת הזמנות והפקת חשבוניות מנויים</t>
        </is>
      </c>
      <c r="C2" s="5" t="inlineStr">
        <is>
          <t>Billing</t>
        </is>
      </c>
      <c r="D2" s="5" t="inlineStr">
        <is>
          <t>הושלם</t>
        </is>
      </c>
      <c r="E2" s="6" t="n"/>
    </row>
    <row r="3">
      <c r="A3" s="5" t="inlineStr">
        <is>
          <t>WD1</t>
        </is>
      </c>
      <c r="B3" s="5" t="inlineStr">
        <is>
          <t>סגירת ספקים וקליטת חשבוניות</t>
        </is>
      </c>
      <c r="C3" s="5" t="inlineStr">
        <is>
          <t>AP</t>
        </is>
      </c>
      <c r="D3" s="5" t="inlineStr">
        <is>
          <t>הושלם</t>
        </is>
      </c>
      <c r="E3" s="6" t="n"/>
    </row>
    <row r="4">
      <c r="A4" s="5" t="inlineStr">
        <is>
          <t>WD1</t>
        </is>
      </c>
      <c r="B4" s="5" t="inlineStr">
        <is>
          <t>התאמות בנק (4 חשבונות, 2 מטבעות)</t>
        </is>
      </c>
      <c r="C4" s="5" t="inlineStr">
        <is>
          <t>Treasury</t>
        </is>
      </c>
      <c r="D4" s="5" t="inlineStr">
        <is>
          <t>הושלם</t>
        </is>
      </c>
      <c r="E4" s="6" t="n"/>
    </row>
    <row r="5">
      <c r="A5" s="5" t="inlineStr">
        <is>
          <t>WD1</t>
        </is>
      </c>
      <c r="B5" s="5" t="inlineStr">
        <is>
          <t>קבלת קובץ שכר מהספק</t>
        </is>
      </c>
      <c r="C5" s="5" t="inlineStr">
        <is>
          <t>Payroll</t>
        </is>
      </c>
      <c r="D5" s="5" t="inlineStr">
        <is>
          <t>בעיכוב</t>
        </is>
      </c>
      <c r="E5" s="6" t="n"/>
    </row>
    <row r="6">
      <c r="A6" s="5" t="inlineStr">
        <is>
          <t>WD2</t>
        </is>
      </c>
      <c r="B6" s="5" t="inlineStr">
        <is>
          <t>גלגול הכנסות נדחות (Deferred Revenue)</t>
        </is>
      </c>
      <c r="C6" s="5" t="inlineStr">
        <is>
          <t>Revenue</t>
        </is>
      </c>
      <c r="D6" s="5" t="inlineStr">
        <is>
          <t>בתהליך</t>
        </is>
      </c>
      <c r="E6" s="6" t="n"/>
    </row>
    <row r="7">
      <c r="A7" s="5" t="inlineStr">
        <is>
          <t>WD2</t>
        </is>
      </c>
      <c r="B7" s="5" t="inlineStr">
        <is>
          <t>הפחתת עמלות מהוונות (ASC 340-40)</t>
        </is>
      </c>
      <c r="C7" s="5" t="inlineStr">
        <is>
          <t>GL</t>
        </is>
      </c>
      <c r="D7" s="5" t="inlineStr">
        <is>
          <t>לא התחיל</t>
        </is>
      </c>
      <c r="E7" s="6" t="n"/>
    </row>
    <row r="8">
      <c r="A8" s="5" t="inlineStr">
        <is>
          <t>WD2</t>
        </is>
      </c>
      <c r="B8" s="5" t="inlineStr">
        <is>
          <t>רישום שכר ותגמול מבוסס מניות (ASC 718)</t>
        </is>
      </c>
      <c r="C8" s="5" t="inlineStr">
        <is>
          <t>Payroll/GL</t>
        </is>
      </c>
      <c r="D8" s="5" t="inlineStr">
        <is>
          <t>חסום: מחכה לשכר</t>
        </is>
      </c>
      <c r="E8" s="6" t="n"/>
    </row>
    <row r="9">
      <c r="A9" s="5" t="inlineStr">
        <is>
          <t>WD2</t>
        </is>
      </c>
      <c r="B9" s="5" t="inlineStr">
        <is>
          <t>שערוך יתרות בשקלים (מטבע פעילות דולר)</t>
        </is>
      </c>
      <c r="C9" s="5" t="inlineStr">
        <is>
          <t>GL</t>
        </is>
      </c>
      <c r="D9" s="5" t="inlineStr">
        <is>
          <t>לא התחיל</t>
        </is>
      </c>
      <c r="E9" s="6" t="n"/>
    </row>
    <row r="10">
      <c r="A10" s="5" t="inlineStr">
        <is>
          <t>WD3</t>
        </is>
      </c>
      <c r="B10" s="5" t="inlineStr">
        <is>
          <t>הפרשות: בונוסים, חופשה, עמלות לשלם</t>
        </is>
      </c>
      <c r="C10" s="5" t="inlineStr">
        <is>
          <t>GL</t>
        </is>
      </c>
      <c r="D10" s="5" t="inlineStr">
        <is>
          <t>לא התחיל</t>
        </is>
      </c>
      <c r="E10" s="6" t="n"/>
    </row>
    <row r="11">
      <c r="A11" s="5" t="inlineStr">
        <is>
          <t>WD3</t>
        </is>
      </c>
      <c r="B11" s="5" t="inlineStr">
        <is>
          <t>התאמות בין-חברתיות מול Nuvora Inc.</t>
        </is>
      </c>
      <c r="C11" s="5" t="inlineStr">
        <is>
          <t>Consolidation</t>
        </is>
      </c>
      <c r="D11" s="5" t="inlineStr">
        <is>
          <t>לא התחיל</t>
        </is>
      </c>
      <c r="E11" s="6" t="n"/>
    </row>
    <row r="12">
      <c r="A12" s="5" t="inlineStr">
        <is>
          <t>WD3</t>
        </is>
      </c>
      <c r="B12" s="5" t="inlineStr">
        <is>
          <t>Flux: השוואה לחודש קודם ולתקציב, הסברים</t>
        </is>
      </c>
      <c r="C12" s="5" t="inlineStr">
        <is>
          <t>Controller</t>
        </is>
      </c>
      <c r="D12" s="5" t="inlineStr">
        <is>
          <t>לא התחיל</t>
        </is>
      </c>
      <c r="E12" s="6" t="n"/>
    </row>
    <row r="13">
      <c r="A13" s="5" t="inlineStr">
        <is>
          <t>WD4</t>
        </is>
      </c>
      <c r="B13" s="5" t="inlineStr">
        <is>
          <t>חבילת דוחות להנהלה + מדדי SaaS</t>
        </is>
      </c>
      <c r="C13" s="5" t="inlineStr">
        <is>
          <t>FP&amp;A</t>
        </is>
      </c>
      <c r="D13" s="5" t="inlineStr">
        <is>
          <t>לא התחיל</t>
        </is>
      </c>
      <c r="E13" s="6" t="n"/>
    </row>
    <row r="14">
      <c r="A14" s="5" t="inlineStr">
        <is>
          <t>WD4</t>
        </is>
      </c>
      <c r="B14" s="5" t="inlineStr">
        <is>
          <t>בדיקת בקרות מפתח (SOX) ותיעוד ראיות</t>
        </is>
      </c>
      <c r="C14" s="5" t="inlineStr">
        <is>
          <t>Controller</t>
        </is>
      </c>
      <c r="D14" s="5" t="inlineStr">
        <is>
          <t>לא התחיל</t>
        </is>
      </c>
      <c r="E14" s="6" t="n"/>
    </row>
    <row r="15">
      <c r="A15" s="5" t="inlineStr">
        <is>
          <t>WD5</t>
        </is>
      </c>
      <c r="B15" s="5" t="inlineStr">
        <is>
          <t>אישור סמנכ"ל כספים ונעילת תקופה</t>
        </is>
      </c>
      <c r="C15" s="5" t="inlineStr">
        <is>
          <t>CFO</t>
        </is>
      </c>
      <c r="D15" s="5" t="inlineStr">
        <is>
          <t>לא התחיל</t>
        </is>
      </c>
      <c r="E1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>
      <c r="A1" s="4" t="inlineStr">
        <is>
          <t>לקוח</t>
        </is>
      </c>
      <c r="B1" s="4" t="inlineStr">
        <is>
          <t>תחילת חוזה</t>
        </is>
      </c>
      <c r="C1" s="4" t="inlineStr">
        <is>
          <t>תקופה (חודשים)</t>
        </is>
      </c>
      <c r="D1" s="4" t="inlineStr">
        <is>
          <t>סיום חוזה</t>
        </is>
      </c>
      <c r="E1" s="4" t="inlineStr">
        <is>
          <t>ערך שנתי $</t>
        </is>
      </c>
      <c r="F1" s="4" t="inlineStr">
        <is>
          <t>הכנסה ביוני $</t>
        </is>
      </c>
      <c r="G1" s="4" t="inlineStr">
        <is>
          <t>הכנסות נדחות 30.6 $</t>
        </is>
      </c>
    </row>
    <row r="2">
      <c r="A2" s="5" t="inlineStr">
        <is>
          <t>Acme Health</t>
        </is>
      </c>
      <c r="B2" s="7" t="n">
        <v>45658</v>
      </c>
      <c r="C2" s="5" t="n">
        <v>36</v>
      </c>
      <c r="D2" s="7" t="n">
        <v>46752</v>
      </c>
      <c r="E2" s="8" t="n">
        <v>240000</v>
      </c>
      <c r="F2" s="9" t="n"/>
      <c r="G2" s="9" t="n"/>
    </row>
    <row r="3">
      <c r="A3" s="5" t="inlineStr">
        <is>
          <t>Brightline Bank</t>
        </is>
      </c>
      <c r="B3" s="7" t="n">
        <v>45839</v>
      </c>
      <c r="C3" s="5" t="n">
        <v>12</v>
      </c>
      <c r="D3" s="7" t="n">
        <v>46203</v>
      </c>
      <c r="E3" s="8" t="n">
        <v>180000</v>
      </c>
      <c r="F3" s="9" t="n"/>
      <c r="G3" s="9" t="n"/>
    </row>
    <row r="4">
      <c r="A4" s="5" t="inlineStr">
        <is>
          <t>Cobalt Retail</t>
        </is>
      </c>
      <c r="B4" s="7" t="n">
        <v>45566</v>
      </c>
      <c r="C4" s="5" t="n">
        <v>24</v>
      </c>
      <c r="D4" s="7" t="n">
        <v>46295</v>
      </c>
      <c r="E4" s="8" t="n">
        <v>96000</v>
      </c>
      <c r="F4" s="9" t="n"/>
      <c r="G4" s="9" t="n"/>
    </row>
    <row r="5">
      <c r="A5" s="5" t="inlineStr">
        <is>
          <t>Delta Logistics</t>
        </is>
      </c>
      <c r="B5" s="7" t="n">
        <v>46082</v>
      </c>
      <c r="C5" s="5" t="n">
        <v>12</v>
      </c>
      <c r="D5" s="7" t="n">
        <v>46446</v>
      </c>
      <c r="E5" s="8" t="n">
        <v>150000</v>
      </c>
      <c r="F5" s="9" t="n"/>
      <c r="G5" s="9" t="n"/>
    </row>
    <row r="6">
      <c r="A6" s="5" t="inlineStr">
        <is>
          <t>Evergreen Insurance</t>
        </is>
      </c>
      <c r="B6" s="7" t="n">
        <v>45078</v>
      </c>
      <c r="C6" s="5" t="n">
        <v>36</v>
      </c>
      <c r="D6" s="7" t="n">
        <v>46173</v>
      </c>
      <c r="E6" s="8" t="n">
        <v>300000</v>
      </c>
      <c r="F6" s="9" t="n"/>
      <c r="G6" s="9" t="n"/>
    </row>
    <row r="7">
      <c r="A7" s="5" t="inlineStr">
        <is>
          <t>Fjord Media</t>
        </is>
      </c>
      <c r="B7" s="7" t="n">
        <v>46174</v>
      </c>
      <c r="C7" s="5" t="n">
        <v>12</v>
      </c>
      <c r="D7" s="7" t="n">
        <v>46538</v>
      </c>
      <c r="E7" s="8" t="n">
        <v>60000</v>
      </c>
      <c r="F7" s="9" t="n"/>
      <c r="G7" s="9" t="n"/>
    </row>
    <row r="8">
      <c r="A8" s="5" t="inlineStr">
        <is>
          <t>Granite Pharma</t>
        </is>
      </c>
      <c r="B8" s="7" t="n">
        <v>45992</v>
      </c>
      <c r="C8" s="5" t="n">
        <v>24</v>
      </c>
      <c r="D8" s="7" t="n">
        <v>46721</v>
      </c>
      <c r="E8" s="8" t="n">
        <v>420000</v>
      </c>
      <c r="F8" s="9" t="n"/>
      <c r="G8" s="9" t="n"/>
    </row>
    <row r="9">
      <c r="A9" s="5" t="inlineStr">
        <is>
          <t>Harbor Telecom</t>
        </is>
      </c>
      <c r="B9" s="7" t="n">
        <v>45383</v>
      </c>
      <c r="C9" s="5" t="n">
        <v>36</v>
      </c>
      <c r="D9" s="7" t="n">
        <v>46477</v>
      </c>
      <c r="E9" s="8" t="n">
        <v>210000</v>
      </c>
      <c r="F9" s="9" t="n"/>
      <c r="G9" s="9" t="n"/>
    </row>
    <row r="10">
      <c r="A10" s="5" t="inlineStr">
        <is>
          <t>Ionic Energy</t>
        </is>
      </c>
      <c r="B10" s="7" t="n">
        <v>46204</v>
      </c>
      <c r="C10" s="5" t="n">
        <v>12</v>
      </c>
      <c r="D10" s="7" t="n">
        <v>46568</v>
      </c>
      <c r="E10" s="8" t="n">
        <v>48000</v>
      </c>
      <c r="F10" s="9" t="n"/>
      <c r="G10" s="9" t="n"/>
    </row>
    <row r="11">
      <c r="A11" s="5" t="inlineStr">
        <is>
          <t>Juniper Schools</t>
        </is>
      </c>
      <c r="B11" s="7" t="n">
        <v>45901</v>
      </c>
      <c r="C11" s="5" t="n">
        <v>12</v>
      </c>
      <c r="D11" s="7" t="n">
        <v>46265</v>
      </c>
      <c r="E11" s="8" t="n">
        <v>72000</v>
      </c>
      <c r="F11" s="9" t="n"/>
      <c r="G11" s="9" t="n"/>
    </row>
    <row r="12">
      <c r="A12" s="5" t="inlineStr">
        <is>
          <t>Kestrel Airlines</t>
        </is>
      </c>
      <c r="B12" s="7" t="n">
        <v>46023</v>
      </c>
      <c r="C12" s="5" t="n">
        <v>36</v>
      </c>
      <c r="D12" s="7" t="n">
        <v>47118</v>
      </c>
      <c r="E12" s="8" t="n">
        <v>360000</v>
      </c>
      <c r="F12" s="9" t="n"/>
      <c r="G12" s="9" t="n"/>
    </row>
    <row r="13">
      <c r="A13" s="5" t="inlineStr">
        <is>
          <t>Lumen Hotels</t>
        </is>
      </c>
      <c r="B13" s="7" t="n">
        <v>45689</v>
      </c>
      <c r="C13" s="5" t="n">
        <v>24</v>
      </c>
      <c r="D13" s="7" t="n">
        <v>46418</v>
      </c>
      <c r="E13" s="8" t="n">
        <v>120000</v>
      </c>
      <c r="F13" s="9" t="n"/>
      <c r="G13" s="9" t="n"/>
    </row>
    <row r="14">
      <c r="A14" s="10" t="inlineStr">
        <is>
          <t>סה"כ</t>
        </is>
      </c>
      <c r="F14" s="11">
        <f>SUM(F2:F13)</f>
        <v/>
      </c>
      <c r="G14" s="11">
        <f>SUM(G2:G13)</f>
        <v/>
      </c>
    </row>
    <row r="16">
      <c r="A16" s="10" t="inlineStr">
        <is>
          <t>לפי הספר הראשי לפני סגירה:</t>
        </is>
      </c>
    </row>
    <row r="17">
      <c r="A17" t="inlineStr">
        <is>
          <t>הכנסות מנויים ביוני $</t>
        </is>
      </c>
      <c r="B17" s="11" t="n">
        <v>207000</v>
      </c>
    </row>
    <row r="18">
      <c r="A18" t="inlineStr">
        <is>
          <t>יתרת הכנסות נדחות 30.6 $</t>
        </is>
      </c>
      <c r="B18" s="11" t="n">
        <v>893500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4" t="inlineStr">
        <is>
          <t>עסקה</t>
        </is>
      </c>
      <c r="B1" s="4" t="inlineStr">
        <is>
          <t>חודש היוון</t>
        </is>
      </c>
      <c r="C1" s="4" t="inlineStr">
        <is>
          <t>עמלה שהוונה $</t>
        </is>
      </c>
      <c r="D1" s="4" t="inlineStr">
        <is>
          <t>מספר החודש ביוני</t>
        </is>
      </c>
      <c r="E1" s="4" t="inlineStr">
        <is>
          <t>הפחתה ביוני $</t>
        </is>
      </c>
    </row>
    <row r="2">
      <c r="A2" s="5" t="inlineStr">
        <is>
          <t>Acme Health</t>
        </is>
      </c>
      <c r="B2" s="7" t="n">
        <v>45658</v>
      </c>
      <c r="C2" s="8" t="n">
        <v>28800</v>
      </c>
      <c r="D2" s="6" t="n"/>
      <c r="E2" s="12" t="n"/>
    </row>
    <row r="3">
      <c r="A3" s="5" t="inlineStr">
        <is>
          <t>Granite Pharma</t>
        </is>
      </c>
      <c r="B3" s="7" t="n">
        <v>45992</v>
      </c>
      <c r="C3" s="8" t="n">
        <v>50400</v>
      </c>
      <c r="D3" s="6" t="n"/>
      <c r="E3" s="12" t="n"/>
    </row>
    <row r="4">
      <c r="A4" s="5" t="inlineStr">
        <is>
          <t>Kestrel Airlines</t>
        </is>
      </c>
      <c r="B4" s="7" t="n">
        <v>46023</v>
      </c>
      <c r="C4" s="8" t="n">
        <v>43200</v>
      </c>
      <c r="D4" s="6" t="n"/>
      <c r="E4" s="12" t="n"/>
    </row>
    <row r="5">
      <c r="A5" s="5" t="inlineStr">
        <is>
          <t>Delta Logistics</t>
        </is>
      </c>
      <c r="B5" s="7" t="n">
        <v>46082</v>
      </c>
      <c r="C5" s="8" t="n">
        <v>18000</v>
      </c>
      <c r="D5" s="6" t="n"/>
      <c r="E5" s="12" t="n"/>
    </row>
    <row r="6">
      <c r="A6" s="5" t="inlineStr">
        <is>
          <t>Harbor Telecom</t>
        </is>
      </c>
      <c r="B6" s="7" t="n">
        <v>45383</v>
      </c>
      <c r="C6" s="8" t="n">
        <v>25200</v>
      </c>
      <c r="D6" s="6" t="n"/>
      <c r="E6" s="12" t="n"/>
    </row>
    <row r="7">
      <c r="A7" s="5" t="inlineStr">
        <is>
          <t>Old Deal Nimbus</t>
        </is>
      </c>
      <c r="B7" s="7" t="n">
        <v>44682</v>
      </c>
      <c r="C7" s="8" t="n">
        <v>19200</v>
      </c>
      <c r="D7" s="6" t="n"/>
      <c r="E7" s="12" t="n"/>
    </row>
    <row r="8">
      <c r="A8" s="5" t="inlineStr">
        <is>
          <t>Fjord Media</t>
        </is>
      </c>
      <c r="B8" s="7" t="n">
        <v>46174</v>
      </c>
      <c r="C8" s="8" t="n">
        <v>7200</v>
      </c>
      <c r="D8" s="6" t="n"/>
      <c r="E8" s="12" t="n"/>
    </row>
    <row r="9">
      <c r="A9" s="5" t="inlineStr">
        <is>
          <t>Lumen Hotels</t>
        </is>
      </c>
      <c r="B9" s="7" t="n">
        <v>45689</v>
      </c>
      <c r="C9" s="8" t="n">
        <v>14400</v>
      </c>
      <c r="D9" s="6" t="n"/>
      <c r="E9" s="12" t="n"/>
    </row>
    <row r="10">
      <c r="A10" t="inlineStr">
        <is>
          <t>סה"כ</t>
        </is>
      </c>
      <c r="E10" s="11">
        <f>SUM(E2:E9)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8" customWidth="1" min="5" max="5"/>
    <col width="12" customWidth="1" min="6" max="6"/>
    <col width="14" customWidth="1" min="7" max="7"/>
    <col width="14" customWidth="1" min="8" max="8"/>
  </cols>
  <sheetData>
    <row r="1">
      <c r="A1" s="4" t="inlineStr">
        <is>
          <t>עובד</t>
        </is>
      </c>
      <c r="B1" s="4" t="inlineStr">
        <is>
          <t>תאריך הענקה</t>
        </is>
      </c>
      <c r="C1" s="4" t="inlineStr">
        <is>
          <t>אופציות</t>
        </is>
      </c>
      <c r="D1" s="4" t="inlineStr">
        <is>
          <t>שווי הוגן לאופציה $</t>
        </is>
      </c>
      <c r="E1" s="4" t="inlineStr">
        <is>
          <t>סטטוס</t>
        </is>
      </c>
      <c r="F1" s="4" t="inlineStr">
        <is>
          <t>תאריך עזיבה</t>
        </is>
      </c>
      <c r="G1" s="4" t="inlineStr">
        <is>
          <t>שווי כולל $</t>
        </is>
      </c>
      <c r="H1" s="4" t="inlineStr">
        <is>
          <t>הוצאה ביוני $</t>
        </is>
      </c>
    </row>
    <row r="2">
      <c r="A2" s="5" t="inlineStr">
        <is>
          <t>נועה ר.</t>
        </is>
      </c>
      <c r="B2" s="7" t="n">
        <v>45170</v>
      </c>
      <c r="C2" s="8" t="n">
        <v>40000</v>
      </c>
      <c r="D2" s="13" t="n">
        <v>3.1</v>
      </c>
      <c r="E2" s="5" t="inlineStr">
        <is>
          <t>פעיל</t>
        </is>
      </c>
      <c r="F2" s="7" t="n"/>
      <c r="G2" s="9" t="n"/>
      <c r="H2" s="12" t="n"/>
    </row>
    <row r="3">
      <c r="A3" s="5" t="inlineStr">
        <is>
          <t>איתי ב.</t>
        </is>
      </c>
      <c r="B3" s="7" t="n">
        <v>45444</v>
      </c>
      <c r="C3" s="8" t="n">
        <v>25000</v>
      </c>
      <c r="D3" s="13" t="n">
        <v>4.2</v>
      </c>
      <c r="E3" s="5" t="inlineStr">
        <is>
          <t>פעיל</t>
        </is>
      </c>
      <c r="F3" s="7" t="n"/>
      <c r="G3" s="9" t="n"/>
      <c r="H3" s="12" t="n"/>
    </row>
    <row r="4">
      <c r="A4" s="5" t="inlineStr">
        <is>
          <t>מאיה ש.</t>
        </is>
      </c>
      <c r="B4" s="7" t="n">
        <v>45717</v>
      </c>
      <c r="C4" s="8" t="n">
        <v>30000</v>
      </c>
      <c r="D4" s="13" t="n">
        <v>5.6</v>
      </c>
      <c r="E4" s="5" t="inlineStr">
        <is>
          <t>עזבה</t>
        </is>
      </c>
      <c r="F4" s="7" t="n">
        <v>46173</v>
      </c>
      <c r="G4" s="9" t="n"/>
      <c r="H4" s="12" t="n"/>
    </row>
    <row r="5">
      <c r="A5" s="5" t="inlineStr">
        <is>
          <t>עומרי ל.</t>
        </is>
      </c>
      <c r="B5" s="7" t="n">
        <v>45901</v>
      </c>
      <c r="C5" s="8" t="n">
        <v>18000</v>
      </c>
      <c r="D5" s="13" t="n">
        <v>6</v>
      </c>
      <c r="E5" s="5" t="inlineStr">
        <is>
          <t>עזב</t>
        </is>
      </c>
      <c r="F5" s="7" t="n">
        <v>46173</v>
      </c>
      <c r="G5" s="9" t="n"/>
      <c r="H5" s="12" t="n"/>
    </row>
    <row r="6">
      <c r="A6" s="5" t="inlineStr">
        <is>
          <t>דנה כ.</t>
        </is>
      </c>
      <c r="B6" s="7" t="n">
        <v>46023</v>
      </c>
      <c r="C6" s="8" t="n">
        <v>22000</v>
      </c>
      <c r="D6" s="13" t="n">
        <v>6.8</v>
      </c>
      <c r="E6" s="5" t="inlineStr">
        <is>
          <t>פעיל</t>
        </is>
      </c>
      <c r="F6" s="7" t="n"/>
      <c r="G6" s="9" t="n"/>
      <c r="H6" s="12" t="n"/>
    </row>
    <row r="7">
      <c r="A7" s="5" t="inlineStr">
        <is>
          <t>גיל מ.</t>
        </is>
      </c>
      <c r="B7" s="7" t="n">
        <v>44652</v>
      </c>
      <c r="C7" s="8" t="n">
        <v>50000</v>
      </c>
      <c r="D7" s="13" t="n">
        <v>2.4</v>
      </c>
      <c r="E7" s="5" t="inlineStr">
        <is>
          <t>פעיל</t>
        </is>
      </c>
      <c r="F7" s="7" t="n"/>
      <c r="G7" s="9" t="n"/>
      <c r="H7" s="12" t="n"/>
    </row>
    <row r="8">
      <c r="A8" t="inlineStr">
        <is>
          <t>סה"כ</t>
        </is>
      </c>
      <c r="H8" s="11">
        <f>SUM(H2:H7)</f>
        <v/>
      </c>
    </row>
    <row r="10">
      <c r="A10" t="inlineStr">
        <is>
          <t>כלל ההבשלה: 25% אחרי שנה (צוק), ואז 1/48 בכל 1 לחודש. הוצאה מוכרת בקו ישר מחודש ההענקה.</t>
        </is>
      </c>
    </row>
    <row r="11">
      <c r="A11" t="inlineStr">
        <is>
          <t>בעזיבה: מבטלים את ההוצאה שהוכרה על חלק שלא הבשיל (חודשים שהוכרו פחות חודשים שהבשילו).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יתרה</t>
        </is>
      </c>
      <c r="B1" s="4" t="inlineStr">
        <is>
          <t>סכום ₪</t>
        </is>
      </c>
      <c r="C1" s="4" t="inlineStr">
        <is>
          <t>שער 31.5</t>
        </is>
      </c>
      <c r="D1" s="4" t="inlineStr">
        <is>
          <t>שער 30.6</t>
        </is>
      </c>
      <c r="E1" s="4" t="inlineStr">
        <is>
          <t>$ לפי 31.5</t>
        </is>
      </c>
      <c r="F1" s="4" t="inlineStr">
        <is>
          <t>$ לפי 30.6</t>
        </is>
      </c>
      <c r="G1" s="4" t="inlineStr">
        <is>
          <t>רווח (הפסד) $</t>
        </is>
      </c>
    </row>
    <row r="2">
      <c r="A2" s="5" t="inlineStr">
        <is>
          <t>מזומן בשקלים</t>
        </is>
      </c>
      <c r="B2" s="8" t="n">
        <v>2300000</v>
      </c>
      <c r="C2" s="5" t="n">
        <v>3.7</v>
      </c>
      <c r="D2" s="5" t="n">
        <v>3.62</v>
      </c>
      <c r="E2" s="9" t="n"/>
      <c r="F2" s="9" t="n"/>
      <c r="G2" s="9" t="n"/>
    </row>
    <row r="3">
      <c r="A3" s="5" t="inlineStr">
        <is>
          <t>משכורות לשלם בשקלים</t>
        </is>
      </c>
      <c r="B3" s="8" t="n">
        <v>-4200000</v>
      </c>
      <c r="C3" s="5" t="n">
        <v>3.7</v>
      </c>
      <c r="D3" s="5" t="n">
        <v>3.62</v>
      </c>
      <c r="E3" s="9" t="n"/>
      <c r="F3" s="9" t="n"/>
      <c r="G3" s="9" t="n"/>
    </row>
    <row r="4">
      <c r="A4" s="5" t="inlineStr">
        <is>
          <t>ספקים בשקלים</t>
        </is>
      </c>
      <c r="B4" s="8" t="n">
        <v>-1850000</v>
      </c>
      <c r="C4" s="5" t="n">
        <v>3.7</v>
      </c>
      <c r="D4" s="5" t="n">
        <v>3.62</v>
      </c>
      <c r="E4" s="9" t="n"/>
      <c r="F4" s="9" t="n"/>
      <c r="G4" s="9" t="n"/>
    </row>
    <row r="6">
      <c r="A6" t="inlineStr">
        <is>
          <t>הנחה לתרגול: היתרות בשקלים לא השתנו בין 31.5 ל-30.6.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4" t="inlineStr">
        <is>
          <t>שאלה</t>
        </is>
      </c>
      <c r="B1" s="14" t="inlineStr">
        <is>
          <t>התשובה שלך</t>
        </is>
      </c>
      <c r="C1" s="14" t="inlineStr">
        <is>
          <t>בדיקה</t>
        </is>
      </c>
    </row>
    <row r="2">
      <c r="A2" s="2" t="inlineStr">
        <is>
          <t>כמה משימות באיחור לפני WD3?</t>
        </is>
      </c>
      <c r="B2" s="15" t="n"/>
      <c r="C2" s="10">
        <f>IF(B2="","",IF(ABS(B2-(5))&lt;=0.1,"✓ נכון","✗ עוד לא"))</f>
        <v/>
      </c>
    </row>
    <row r="3">
      <c r="A3" s="2" t="inlineStr">
        <is>
          <t>הכנסות מנויים נכונות ליוני ($)</t>
        </is>
      </c>
      <c r="B3" s="16" t="n"/>
      <c r="C3" s="10">
        <f>IF(B3="","",IF(ABS(B3-(159000))&lt;=1.0,"✓ נכון","✗ עוד לא"))</f>
        <v/>
      </c>
    </row>
    <row r="4">
      <c r="A4" s="2" t="inlineStr">
        <is>
          <t>יתרת הכנסות נדחות נכונה ל-30.6 ($)</t>
        </is>
      </c>
      <c r="B4" s="16" t="n"/>
      <c r="C4" s="10">
        <f>IF(B4="","",IF(ABS(B4-(941500))&lt;=1.0,"✓ נכון","✗ עוד לא"))</f>
        <v/>
      </c>
    </row>
    <row r="5">
      <c r="A5" s="2" t="inlineStr">
        <is>
          <t>סכום פקודת התיקון להכנסות ($, חיובי)</t>
        </is>
      </c>
      <c r="B5" s="16" t="n"/>
      <c r="C5" s="10">
        <f>IF(B5="","",IF(ABS(B5-(48000))&lt;=1.0,"✓ נכון","✗ עוד לא"))</f>
        <v/>
      </c>
    </row>
    <row r="6">
      <c r="A6" s="2" t="inlineStr">
        <is>
          <t>הפחתת עמלות ביוני ($)</t>
        </is>
      </c>
      <c r="B6" s="16" t="n"/>
      <c r="C6" s="10">
        <f>IF(B6="","",IF(ABS(B6-(3900))&lt;=1.0,"✓ נכון","✗ עוד לא"))</f>
        <v/>
      </c>
    </row>
    <row r="7">
      <c r="A7" s="2" t="inlineStr">
        <is>
          <t>הוצאת מניות ביוני לעובדים פעילים ($)</t>
        </is>
      </c>
      <c r="B7" s="16" t="n"/>
      <c r="C7" s="10">
        <f>IF(B7="","",IF(ABS(B7-(7888))&lt;=1.0,"✓ נכון","✗ עוד לא"))</f>
        <v/>
      </c>
    </row>
    <row r="8">
      <c r="A8" s="2" t="inlineStr">
        <is>
          <t>ביטול הוצאה בגין מאיה ($)</t>
        </is>
      </c>
      <c r="B8" s="16" t="n"/>
      <c r="C8" s="10">
        <f>IF(B8="","",IF(ABS(B8-(3500))&lt;=1.0,"✓ נכון","✗ עוד לא"))</f>
        <v/>
      </c>
    </row>
    <row r="9">
      <c r="A9" s="2" t="inlineStr">
        <is>
          <t>ביטול הוצאה בגין עומרי ($)</t>
        </is>
      </c>
      <c r="B9" s="16" t="n"/>
      <c r="C9" s="10">
        <f>IF(B9="","",IF(ABS(B9-(20250))&lt;=1.0,"✓ נכון","✗ עוד לא"))</f>
        <v/>
      </c>
    </row>
    <row r="10">
      <c r="A10" s="2" t="inlineStr">
        <is>
          <t>רווח (הפסד) משערוך ביוני ($, הפסד במינוס)</t>
        </is>
      </c>
      <c r="B10" s="16" t="n"/>
      <c r="C10" s="10">
        <f>IF(B10="","",IF(ABS(B10-(-22398))&lt;=1.0,"✓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conditionalFormatting sqref="C10">
    <cfRule type="expression" priority="17" dxfId="0">
      <formula>LEFT(C10,1)="✓"</formula>
    </cfRule>
    <cfRule type="expression" priority="18" dxfId="1">
      <formula>LEFT(C10,1)="✗"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