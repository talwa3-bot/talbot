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קווי מוצר" sheetId="2" state="visible" r:id="rId2"/>
    <sheet name="שאלו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;[Red]-#,##0.00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4" fontId="0" fillId="3" borderId="1" pivotButton="0" quotePrefix="0" xfId="0"/>
    <xf numFmtId="164" fontId="0" fillId="0" borderId="0" pivotButton="0" quotePrefix="0" xfId="0"/>
    <xf numFmtId="0" fontId="3" fillId="2" borderId="0" pivotButton="0" quotePrefix="0" xfId="0"/>
    <xf numFmtId="16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מסלול תעשייה | שלב 6 | ניתוח מחיר, כמות ותמהיל | גלבוע תעשיות</t>
        </is>
      </c>
    </row>
    <row r="3">
      <c r="A3" s="2" t="inlineStr">
        <is>
          <t>הסיפור: ההכנסות קרובות לתקציב, אבל המנכ"ל לא מרוצה: "משהו לא בסדר ברווחיות". את מפרקת את הסטייה לגורמים.</t>
        </is>
      </c>
    </row>
    <row r="4">
      <c r="A4" s="3" t="inlineStr">
        <is>
          <t>מקרא: תא צהוב = כאן ממלאים. עמודת "בדיקה" נצבעת בירוק (✓) כשהתשובה נכונה, ובאדום כשעוד לא. אל תציצי בנוסחת הבדיקה, היא מכילה את התשובה.</t>
        </is>
      </c>
    </row>
    <row r="5">
      <c r="A5" s="2" t="inlineStr">
        <is>
          <t>טיפ ADHD: משימה אחת בכל פעם. כל גיליון הוא משימה של 15 עד 25 דקות. סיימת גיליון? קומי, מים, ואז הבא.</t>
        </is>
      </c>
    </row>
    <row r="6">
      <c r="A6" s="2" t="inlineStr"/>
    </row>
    <row r="7">
      <c r="A7" s="2" t="inlineStr">
        <is>
          <t>השפעת מחיר = סכום של (מחיר בפועל פחות מחיר תקציב) × כמות בפועל.</t>
        </is>
      </c>
    </row>
    <row r="8">
      <c r="A8" s="2" t="inlineStr">
        <is>
          <t>השפעת כמות = (סך כמות בפועל פחות סך כמות תקציב) × מחיר ממוצע בתקציב.</t>
        </is>
      </c>
    </row>
    <row r="9">
      <c r="A9" s="2" t="inlineStr">
        <is>
          <t>השפעת תמהיל = סכום של (כמות בפועל של הקו פחות סך כמות בפועל × חלק הקו בתקציב) × מחיר תקציב של הקו.</t>
        </is>
      </c>
    </row>
    <row r="10">
      <c r="A10" s="2" t="inlineStr">
        <is>
          <t>בדיקה: מחיר + כמות + תמהיל = הכנסות בפועל פחות הכנסות תקציב.</t>
        </is>
      </c>
    </row>
    <row r="11">
      <c r="A11" s="2" t="inlineStr">
        <is>
          <t>ובנוסף: סטיית מחיר חומר גלם = (מחיר בפועל לטון 8,100 פחות תקן 7,400) × 520 טון.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4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קו</t>
        </is>
      </c>
      <c r="B1" s="4" t="inlineStr">
        <is>
          <t>כמות תקציב</t>
        </is>
      </c>
      <c r="C1" s="4" t="inlineStr">
        <is>
          <t>מחיר תקציב</t>
        </is>
      </c>
      <c r="D1" s="4" t="inlineStr">
        <is>
          <t>כמות בפועל</t>
        </is>
      </c>
      <c r="E1" s="4" t="inlineStr">
        <is>
          <t>מחיר בפועל</t>
        </is>
      </c>
      <c r="F1" s="4" t="inlineStr">
        <is>
          <t>הכנסות תקציב</t>
        </is>
      </c>
      <c r="G1" s="4" t="inlineStr">
        <is>
          <t>הכנסות בפועל</t>
        </is>
      </c>
      <c r="H1" s="4" t="inlineStr">
        <is>
          <t>השפעת מחיר</t>
        </is>
      </c>
      <c r="I1" s="4" t="inlineStr">
        <is>
          <t>השפעת תמהיל</t>
        </is>
      </c>
    </row>
    <row r="2">
      <c r="A2" s="5" t="inlineStr">
        <is>
          <t>קרטון</t>
        </is>
      </c>
      <c r="B2" s="6" t="n">
        <v>2000000</v>
      </c>
      <c r="C2" s="7" t="n">
        <v>4.5</v>
      </c>
      <c r="D2" s="6" t="n">
        <v>2150000</v>
      </c>
      <c r="E2" s="7" t="n">
        <v>4.35</v>
      </c>
      <c r="F2" s="8" t="n"/>
      <c r="G2" s="8" t="n"/>
      <c r="H2" s="8" t="n"/>
      <c r="I2" s="8" t="n"/>
    </row>
    <row r="3">
      <c r="A3" s="5" t="inlineStr">
        <is>
          <t>פלסטיק</t>
        </is>
      </c>
      <c r="B3" s="6" t="n">
        <v>900000</v>
      </c>
      <c r="C3" s="7" t="n">
        <v>7.2</v>
      </c>
      <c r="D3" s="6" t="n">
        <v>760000</v>
      </c>
      <c r="E3" s="7" t="n">
        <v>7.4</v>
      </c>
      <c r="F3" s="8" t="n"/>
      <c r="G3" s="8" t="n"/>
      <c r="H3" s="8" t="n"/>
      <c r="I3" s="8" t="n"/>
    </row>
    <row r="4">
      <c r="A4" s="5" t="inlineStr">
        <is>
          <t>מודפס</t>
        </is>
      </c>
      <c r="B4" s="6" t="n">
        <v>5000000</v>
      </c>
      <c r="C4" s="7" t="n">
        <v>2.6</v>
      </c>
      <c r="D4" s="6" t="n">
        <v>5300000</v>
      </c>
      <c r="E4" s="7" t="n">
        <v>2.7</v>
      </c>
      <c r="F4" s="8" t="n"/>
      <c r="G4" s="8" t="n"/>
      <c r="H4" s="8" t="n"/>
      <c r="I4" s="8" t="n"/>
    </row>
    <row r="5">
      <c r="A5" t="inlineStr">
        <is>
          <t>סה"כ</t>
        </is>
      </c>
      <c r="B5" s="9">
        <f>SUM(B2:B4)</f>
        <v/>
      </c>
      <c r="D5" s="9">
        <f>SUM(D2:D4)</f>
        <v/>
      </c>
      <c r="F5" s="9">
        <f>SUM(F2:F4)</f>
        <v/>
      </c>
      <c r="G5" s="9">
        <f>SUM(G2:G4)</f>
        <v/>
      </c>
      <c r="H5" s="9">
        <f>SUM(H2:H4)</f>
        <v/>
      </c>
      <c r="I5" s="9">
        <f>SUM(I2:I4)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6" customWidth="1" min="3" max="3"/>
  </cols>
  <sheetData>
    <row r="1">
      <c r="A1" s="10" t="inlineStr">
        <is>
          <t>שאלה</t>
        </is>
      </c>
      <c r="B1" s="10" t="inlineStr">
        <is>
          <t>התשובה שלך</t>
        </is>
      </c>
      <c r="C1" s="10" t="inlineStr">
        <is>
          <t>בדיקה</t>
        </is>
      </c>
    </row>
    <row r="2">
      <c r="A2" s="2" t="inlineStr">
        <is>
          <t>סטיית הכנסות כוללת ₪ (בפועל פחות תקציב)</t>
        </is>
      </c>
      <c r="B2" s="11" t="n"/>
      <c r="C2" s="12">
        <f>IF(B2="","",IF(ABS(B2-(806500))&lt;=1.0,"✓ נכון","✗ עוד לא"))</f>
        <v/>
      </c>
    </row>
    <row r="3">
      <c r="A3" s="2" t="inlineStr">
        <is>
          <t>השפעת מחיר ₪</t>
        </is>
      </c>
      <c r="B3" s="11" t="n"/>
      <c r="C3" s="12">
        <f>IF(B3="","",IF(ABS(B3-(359500))&lt;=1.0,"✓ נכון","✗ עוד לא"))</f>
        <v/>
      </c>
    </row>
    <row r="4">
      <c r="A4" s="2" t="inlineStr">
        <is>
          <t>השפעת כמות ₪</t>
        </is>
      </c>
      <c r="B4" s="11" t="n"/>
      <c r="C4" s="12">
        <f>IF(B4="","",IF(ABS(B4-(1117570))&lt;=1.0,"✓ נכון","✗ עוד לא"))</f>
        <v/>
      </c>
    </row>
    <row r="5">
      <c r="A5" s="2" t="inlineStr">
        <is>
          <t>השפעת תמהיל ₪</t>
        </is>
      </c>
      <c r="B5" s="11" t="n"/>
      <c r="C5" s="12">
        <f>IF(B5="","",IF(ABS(B5-(-670570))&lt;=1.0,"✓ נכון","✗ עוד לא"))</f>
        <v/>
      </c>
    </row>
    <row r="6">
      <c r="A6" s="2" t="inlineStr">
        <is>
          <t>סטיית מחיר חומר גלם ₪ (לא לטובה, כתבי חיובי)</t>
        </is>
      </c>
      <c r="B6" s="11" t="n"/>
      <c r="C6" s="12">
        <f>IF(B6="","",IF(ABS(B6-(364000))&lt;=1.0,"✓ נכון","✗ עוד לא"))</f>
        <v/>
      </c>
    </row>
  </sheetData>
  <conditionalFormatting sqref="C2">
    <cfRule type="expression" priority="1" dxfId="0">
      <formula>LEFT(C2,1)="✓"</formula>
    </cfRule>
    <cfRule type="expression" priority="2" dxfId="1">
      <formula>LEFT(C2,1)="✗"</formula>
    </cfRule>
  </conditionalFormatting>
  <conditionalFormatting sqref="C3">
    <cfRule type="expression" priority="3" dxfId="0">
      <formula>LEFT(C3,1)="✓"</formula>
    </cfRule>
    <cfRule type="expression" priority="4" dxfId="1">
      <formula>LEFT(C3,1)="✗"</formula>
    </cfRule>
  </conditionalFormatting>
  <conditionalFormatting sqref="C4">
    <cfRule type="expression" priority="5" dxfId="0">
      <formula>LEFT(C4,1)="✓"</formula>
    </cfRule>
    <cfRule type="expression" priority="6" dxfId="1">
      <formula>LEFT(C4,1)="✗"</formula>
    </cfRule>
  </conditionalFormatting>
  <conditionalFormatting sqref="C5">
    <cfRule type="expression" priority="7" dxfId="0">
      <formula>LEFT(C5,1)="✓"</formula>
    </cfRule>
    <cfRule type="expression" priority="8" dxfId="1">
      <formula>LEFT(C5,1)="✗"</formula>
    </cfRule>
  </conditionalFormatting>
  <conditionalFormatting sqref="C6">
    <cfRule type="expression" priority="9" dxfId="0">
      <formula>LEFT(C6,1)="✓"</formula>
    </cfRule>
    <cfRule type="expression" priority="10" dxfId="1">
      <formula>LEFT(C6,1)="✗"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2026-09-30T07:35:58Z</dcterms:created>
  <dcterms:modified xsi:type="dcterms:W3CDTF">2026-09-30T07:35:58Z</dcterms:modified>
</cp:coreProperties>
</file>